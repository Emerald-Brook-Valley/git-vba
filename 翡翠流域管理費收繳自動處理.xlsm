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kliu\Documents\第五屆管委會\管理費收繳\git-vba\"/>
    </mc:Choice>
  </mc:AlternateContent>
  <xr:revisionPtr revIDLastSave="0" documentId="13_ncr:1_{B85766A0-120F-4882-9421-EF31342EAAE2}" xr6:coauthVersionLast="47" xr6:coauthVersionMax="47" xr10:uidLastSave="{00000000-0000-0000-0000-000000000000}"/>
  <bookViews>
    <workbookView xWindow="7440" yWindow="1680" windowWidth="21165" windowHeight="13890" xr2:uid="{D6F7E65D-FC10-4F82-9315-83FF4F153EF3}"/>
  </bookViews>
  <sheets>
    <sheet name="起始表" sheetId="13" r:id="rId1"/>
    <sheet name="基本資料" sheetId="5" r:id="rId2"/>
    <sheet name="季繳名單" sheetId="2" r:id="rId3"/>
    <sheet name="年繳名單" sheetId="3" r:id="rId4"/>
    <sheet name="坪數" sheetId="9" r:id="rId5"/>
    <sheet name="區權人" sheetId="12" r:id="rId6"/>
    <sheet name="拆單作業" sheetId="73" r:id="rId7"/>
    <sheet name="當月帳款" sheetId="4" r:id="rId8"/>
    <sheet name="未銷帳" sheetId="64" r:id="rId9"/>
    <sheet name="行政規費" sheetId="7" r:id="rId10"/>
    <sheet name="其他費用" sheetId="8" r:id="rId11"/>
    <sheet name="上傳資料" sheetId="10" r:id="rId12"/>
    <sheet name="拆單上傳" sheetId="74" r:id="rId13"/>
    <sheet name="自動扣繳" sheetId="11" r:id="rId14"/>
    <sheet name="公告未繳" sheetId="33" r:id="rId15"/>
    <sheet name="代扣通知" sheetId="67" r:id="rId16"/>
    <sheet name="Email" sheetId="75" r:id="rId17"/>
    <sheet name="Email範本" sheetId="66" r:id="rId18"/>
    <sheet name="繳費財報" sheetId="79" r:id="rId19"/>
    <sheet name="總覽" sheetId="52" r:id="rId20"/>
    <sheet name="Q&amp;A" sheetId="14" r:id="rId21"/>
  </sheets>
  <externalReferences>
    <externalReference r:id="rId2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9" l="1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4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5" i="9"/>
  <c r="F6" i="9"/>
  <c r="F4" i="9"/>
  <c r="E5" i="75"/>
  <c r="H4" i="9"/>
  <c r="J4" i="9"/>
  <c r="E4" i="75"/>
  <c r="B15" i="5"/>
  <c r="B16" i="5" s="1"/>
  <c r="B22" i="5" l="1"/>
  <c r="B8" i="52"/>
  <c r="B56" i="11" l="1"/>
  <c r="E56" i="11"/>
  <c r="B10" i="52" s="1"/>
  <c r="B5" i="52"/>
  <c r="B4" i="52"/>
  <c r="B9" i="52"/>
  <c r="B6" i="52"/>
  <c r="B7" i="52"/>
  <c r="B3" i="52"/>
  <c r="B30" i="5"/>
  <c r="H1" i="9"/>
  <c r="F1" i="9"/>
  <c r="B12" i="52" l="1"/>
  <c r="B11" i="52"/>
  <c r="B29" i="5"/>
  <c r="B27" i="5"/>
  <c r="B17" i="5"/>
  <c r="J1" i="9" s="1"/>
  <c r="D5" i="75" l="1"/>
  <c r="B5" i="75"/>
  <c r="D4" i="75"/>
  <c r="B4" i="75"/>
  <c r="A1" i="11"/>
</calcChain>
</file>

<file path=xl/sharedStrings.xml><?xml version="1.0" encoding="utf-8"?>
<sst xmlns="http://schemas.openxmlformats.org/spreadsheetml/2006/main" count="3998" uniqueCount="1704">
  <si>
    <t>翡翠流域季繳戶名單</t>
    <phoneticPr fontId="2" type="noConversion"/>
  </si>
  <si>
    <t>*請注意如有未銷帳紀錄，將自名單中剃除。欠款繳清才可再次申請。</t>
    <phoneticPr fontId="2" type="noConversion"/>
  </si>
  <si>
    <t>*每逢1,4,7,10月進行扣款。新申請須於前一個月(12,3,6,9)作業。</t>
    <phoneticPr fontId="2" type="noConversion"/>
  </si>
  <si>
    <t>季繳戶</t>
    <phoneticPr fontId="2" type="noConversion"/>
  </si>
  <si>
    <t>*注意戶別必須在A欄,不可空格。更新後請按重新排序</t>
    <phoneticPr fontId="2" type="noConversion"/>
  </si>
  <si>
    <t>A0201</t>
    <phoneticPr fontId="2" type="noConversion"/>
  </si>
  <si>
    <t>B0202</t>
    <phoneticPr fontId="2" type="noConversion"/>
  </si>
  <si>
    <t>E0203</t>
    <phoneticPr fontId="2" type="noConversion"/>
  </si>
  <si>
    <t>F0204</t>
    <phoneticPr fontId="2" type="noConversion"/>
  </si>
  <si>
    <t>翡翠流域年繳戶名單</t>
    <phoneticPr fontId="2" type="noConversion"/>
  </si>
  <si>
    <t>年繳戶</t>
    <phoneticPr fontId="2" type="noConversion"/>
  </si>
  <si>
    <t>A0101</t>
    <phoneticPr fontId="2" type="noConversion"/>
  </si>
  <si>
    <t>B0102</t>
    <phoneticPr fontId="2" type="noConversion"/>
  </si>
  <si>
    <t>E0103</t>
    <phoneticPr fontId="2" type="noConversion"/>
  </si>
  <si>
    <t>F0104</t>
    <phoneticPr fontId="2" type="noConversion"/>
  </si>
  <si>
    <t>翡翠流域當月帳款</t>
    <phoneticPr fontId="2" type="noConversion"/>
  </si>
  <si>
    <t>戶別</t>
  </si>
  <si>
    <t>房屋管理費</t>
    <phoneticPr fontId="2" type="noConversion"/>
  </si>
  <si>
    <t>車位管理費</t>
    <phoneticPr fontId="2" type="noConversion"/>
  </si>
  <si>
    <t>總管理費</t>
    <phoneticPr fontId="2" type="noConversion"/>
  </si>
  <si>
    <t>前期欠款</t>
    <phoneticPr fontId="2" type="noConversion"/>
  </si>
  <si>
    <t>欠款期數</t>
    <phoneticPr fontId="2" type="noConversion"/>
  </si>
  <si>
    <t>上期累計欠款期數</t>
    <phoneticPr fontId="2" type="noConversion"/>
  </si>
  <si>
    <t>季繳</t>
    <phoneticPr fontId="2" type="noConversion"/>
  </si>
  <si>
    <t>年繳</t>
    <phoneticPr fontId="2" type="noConversion"/>
  </si>
  <si>
    <t>行政規費</t>
    <phoneticPr fontId="2" type="noConversion"/>
  </si>
  <si>
    <t>通訊欄1</t>
    <phoneticPr fontId="2" type="noConversion"/>
  </si>
  <si>
    <t>通訊欄2</t>
    <phoneticPr fontId="2" type="noConversion"/>
  </si>
  <si>
    <t>A0102</t>
    <phoneticPr fontId="2" type="noConversion"/>
  </si>
  <si>
    <t>A0103</t>
  </si>
  <si>
    <t>A0104</t>
  </si>
  <si>
    <t>A0105</t>
  </si>
  <si>
    <t>A0106</t>
  </si>
  <si>
    <t>A0107</t>
  </si>
  <si>
    <t>A0108</t>
  </si>
  <si>
    <t>A0109</t>
  </si>
  <si>
    <t>A0110</t>
  </si>
  <si>
    <t>A0111</t>
  </si>
  <si>
    <t>A0112</t>
  </si>
  <si>
    <t>A0113</t>
  </si>
  <si>
    <t>A0114</t>
  </si>
  <si>
    <t>A0115</t>
  </si>
  <si>
    <t>A0202</t>
    <phoneticPr fontId="2" type="noConversion"/>
  </si>
  <si>
    <t>A0203</t>
  </si>
  <si>
    <t>A0204</t>
  </si>
  <si>
    <t>A0205</t>
  </si>
  <si>
    <t>A0206</t>
  </si>
  <si>
    <t>A0207</t>
  </si>
  <si>
    <t>A0208</t>
  </si>
  <si>
    <t>A0209</t>
  </si>
  <si>
    <t>A0210</t>
  </si>
  <si>
    <t>A0211</t>
  </si>
  <si>
    <t>A0212</t>
  </si>
  <si>
    <t>A0213</t>
  </si>
  <si>
    <t>A0214</t>
  </si>
  <si>
    <t>A0215</t>
  </si>
  <si>
    <t>A0302</t>
    <phoneticPr fontId="2" type="noConversion"/>
  </si>
  <si>
    <t>A0303</t>
    <phoneticPr fontId="2" type="noConversion"/>
  </si>
  <si>
    <t>A0304</t>
  </si>
  <si>
    <t>A0305</t>
  </si>
  <si>
    <t>A0306</t>
  </si>
  <si>
    <t>A0307</t>
  </si>
  <si>
    <t>A0308</t>
  </si>
  <si>
    <t>A0309</t>
  </si>
  <si>
    <t>A0310</t>
  </si>
  <si>
    <t>A0311</t>
  </si>
  <si>
    <t>A0312</t>
  </si>
  <si>
    <t>A0313</t>
  </si>
  <si>
    <t>A0314</t>
  </si>
  <si>
    <t>A0315</t>
  </si>
  <si>
    <t>A0502</t>
    <phoneticPr fontId="2" type="noConversion"/>
  </si>
  <si>
    <t>A0503</t>
    <phoneticPr fontId="2" type="noConversion"/>
  </si>
  <si>
    <t>A0504</t>
  </si>
  <si>
    <t>A0505</t>
  </si>
  <si>
    <t>A0506</t>
  </si>
  <si>
    <t>A0507</t>
  </si>
  <si>
    <t>A0508</t>
  </si>
  <si>
    <t>A0509</t>
  </si>
  <si>
    <t>A0510</t>
  </si>
  <si>
    <t>A0511</t>
  </si>
  <si>
    <t>A0512</t>
  </si>
  <si>
    <t>A0513</t>
  </si>
  <si>
    <t>A0514</t>
  </si>
  <si>
    <t>A0515</t>
  </si>
  <si>
    <t>B0101</t>
    <phoneticPr fontId="2" type="noConversion"/>
  </si>
  <si>
    <t>B0103</t>
  </si>
  <si>
    <t>B0104</t>
  </si>
  <si>
    <t>B0105</t>
  </si>
  <si>
    <t>B0106</t>
  </si>
  <si>
    <t>B0107</t>
  </si>
  <si>
    <t>B0108</t>
  </si>
  <si>
    <t>B0109</t>
  </si>
  <si>
    <t>B0110</t>
  </si>
  <si>
    <t>B0111</t>
  </si>
  <si>
    <t>B0112</t>
  </si>
  <si>
    <t>B0113</t>
  </si>
  <si>
    <t>B0114</t>
  </si>
  <si>
    <t>B0115</t>
  </si>
  <si>
    <t>B0201</t>
    <phoneticPr fontId="2" type="noConversion"/>
  </si>
  <si>
    <t>B0203</t>
  </si>
  <si>
    <t>B0204</t>
  </si>
  <si>
    <t>B0205</t>
  </si>
  <si>
    <t>B0206</t>
  </si>
  <si>
    <t>B0207</t>
  </si>
  <si>
    <t>B0208</t>
  </si>
  <si>
    <t>B0209</t>
  </si>
  <si>
    <t>B0210</t>
  </si>
  <si>
    <t>B0211</t>
  </si>
  <si>
    <t>B0212</t>
  </si>
  <si>
    <t>B0213</t>
  </si>
  <si>
    <t>B0214</t>
  </si>
  <si>
    <t>B0215</t>
  </si>
  <si>
    <t>B0301</t>
    <phoneticPr fontId="2" type="noConversion"/>
  </si>
  <si>
    <t>B0302</t>
    <phoneticPr fontId="2" type="noConversion"/>
  </si>
  <si>
    <t>B0303</t>
  </si>
  <si>
    <t>B0304</t>
  </si>
  <si>
    <t>B0305</t>
  </si>
  <si>
    <t>B0306</t>
  </si>
  <si>
    <t>B0307</t>
  </si>
  <si>
    <t>B0308</t>
  </si>
  <si>
    <t>B0309</t>
  </si>
  <si>
    <t>B0310</t>
  </si>
  <si>
    <t>B0311</t>
  </si>
  <si>
    <t>B0312</t>
  </si>
  <si>
    <t>B0313</t>
  </si>
  <si>
    <t>B0314</t>
  </si>
  <si>
    <t>B0315</t>
  </si>
  <si>
    <t>B0502</t>
    <phoneticPr fontId="2" type="noConversion"/>
  </si>
  <si>
    <t>B0503</t>
    <phoneticPr fontId="2" type="noConversion"/>
  </si>
  <si>
    <t>B0504</t>
  </si>
  <si>
    <t>B0505</t>
  </si>
  <si>
    <t>B0506</t>
  </si>
  <si>
    <t>B0507</t>
  </si>
  <si>
    <t>B0508</t>
  </si>
  <si>
    <t>B0509</t>
  </si>
  <si>
    <t>B0510</t>
  </si>
  <si>
    <t>B0511</t>
  </si>
  <si>
    <t>B0512</t>
  </si>
  <si>
    <t>B0513</t>
  </si>
  <si>
    <t>B0514</t>
  </si>
  <si>
    <t>B0515</t>
  </si>
  <si>
    <t>E0102</t>
    <phoneticPr fontId="2" type="noConversion"/>
  </si>
  <si>
    <t>E0104</t>
  </si>
  <si>
    <t>E0105</t>
  </si>
  <si>
    <t>E0106</t>
  </si>
  <si>
    <t>E0107</t>
  </si>
  <si>
    <t>E0108</t>
  </si>
  <si>
    <t>E0109</t>
  </si>
  <si>
    <t>E0110</t>
  </si>
  <si>
    <t>E0111</t>
  </si>
  <si>
    <t>E0112</t>
  </si>
  <si>
    <t>E0113</t>
  </si>
  <si>
    <t>E0114</t>
  </si>
  <si>
    <t>E0115</t>
  </si>
  <si>
    <t>E0202</t>
    <phoneticPr fontId="2" type="noConversion"/>
  </si>
  <si>
    <t>E0204</t>
  </si>
  <si>
    <t>E0205</t>
  </si>
  <si>
    <t>E0206</t>
  </si>
  <si>
    <t>E0207</t>
  </si>
  <si>
    <t>E0208</t>
  </si>
  <si>
    <t>E0209</t>
  </si>
  <si>
    <t>E0210</t>
  </si>
  <si>
    <t>E0211</t>
  </si>
  <si>
    <t>E0212</t>
  </si>
  <si>
    <t>E0213</t>
  </si>
  <si>
    <t>E0214</t>
  </si>
  <si>
    <t>E0215</t>
  </si>
  <si>
    <t>E0302</t>
    <phoneticPr fontId="2" type="noConversion"/>
  </si>
  <si>
    <t>E0303</t>
    <phoneticPr fontId="2" type="noConversion"/>
  </si>
  <si>
    <t>E0304</t>
  </si>
  <si>
    <t>E0305</t>
  </si>
  <si>
    <t>E0306</t>
  </si>
  <si>
    <t>E0307</t>
  </si>
  <si>
    <t>E0308</t>
  </si>
  <si>
    <t>E0309</t>
  </si>
  <si>
    <t>E0310</t>
  </si>
  <si>
    <t>E0311</t>
  </si>
  <si>
    <t>E0312</t>
  </si>
  <si>
    <t>E0313</t>
  </si>
  <si>
    <t>E0314</t>
  </si>
  <si>
    <t>E0315</t>
  </si>
  <si>
    <t>E0501</t>
    <phoneticPr fontId="2" type="noConversion"/>
  </si>
  <si>
    <t>E0502</t>
    <phoneticPr fontId="2" type="noConversion"/>
  </si>
  <si>
    <t>E0503</t>
  </si>
  <si>
    <t>E0504</t>
  </si>
  <si>
    <t>E0505</t>
  </si>
  <si>
    <t>E0506</t>
  </si>
  <si>
    <t>E0507</t>
  </si>
  <si>
    <t>E0508</t>
  </si>
  <si>
    <t>E0509</t>
  </si>
  <si>
    <t>E0510</t>
  </si>
  <si>
    <t>E0511</t>
  </si>
  <si>
    <t>E0512</t>
  </si>
  <si>
    <t>E0513</t>
  </si>
  <si>
    <t>E0514</t>
  </si>
  <si>
    <t>E0515</t>
  </si>
  <si>
    <t>E0602</t>
    <phoneticPr fontId="2" type="noConversion"/>
  </si>
  <si>
    <t>E0603</t>
    <phoneticPr fontId="2" type="noConversion"/>
  </si>
  <si>
    <t>E0604</t>
  </si>
  <si>
    <t>E0605</t>
  </si>
  <si>
    <t>E0606</t>
  </si>
  <si>
    <t>E0607</t>
  </si>
  <si>
    <t>E0608</t>
  </si>
  <si>
    <t>E0609</t>
  </si>
  <si>
    <t>E0610</t>
  </si>
  <si>
    <t>E0611</t>
  </si>
  <si>
    <t>E0612</t>
  </si>
  <si>
    <t>E0613</t>
  </si>
  <si>
    <t>E0614</t>
  </si>
  <si>
    <t>E0615</t>
  </si>
  <si>
    <t>E0701</t>
    <phoneticPr fontId="2" type="noConversion"/>
  </si>
  <si>
    <t>E0702</t>
    <phoneticPr fontId="2" type="noConversion"/>
  </si>
  <si>
    <t>E0703</t>
  </si>
  <si>
    <t>E0704</t>
  </si>
  <si>
    <t>E0705</t>
  </si>
  <si>
    <t>E0706</t>
  </si>
  <si>
    <t>E0707</t>
  </si>
  <si>
    <t>E0708</t>
  </si>
  <si>
    <t>E0709</t>
  </si>
  <si>
    <t>E0710</t>
  </si>
  <si>
    <t>E0711</t>
  </si>
  <si>
    <t>E0712</t>
  </si>
  <si>
    <t>E0713</t>
  </si>
  <si>
    <t>E0714</t>
  </si>
  <si>
    <t>E0715</t>
  </si>
  <si>
    <t>F0103</t>
    <phoneticPr fontId="2" type="noConversion"/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</si>
  <si>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</si>
  <si>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</si>
  <si>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</si>
  <si>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</si>
  <si>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</si>
  <si>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</si>
  <si>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</si>
  <si>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</si>
  <si>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</si>
  <si>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</si>
  <si>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</si>
  <si>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F0203</t>
    <phoneticPr fontId="2" type="noConversion"/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</si>
  <si>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</si>
  <si>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</si>
  <si>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</si>
  <si>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</si>
  <si>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</si>
  <si>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</si>
  <si>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</si>
  <si>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</si>
  <si>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</si>
  <si>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</si>
  <si>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F0215</t>
  </si>
  <si>
    <t>F0302</t>
    <phoneticPr fontId="2" type="noConversion"/>
  </si>
  <si>
    <t>F0303</t>
    <phoneticPr fontId="2" type="noConversion"/>
  </si>
  <si>
    <t>F0304</t>
  </si>
  <si>
    <t>F0305</t>
  </si>
  <si>
    <t>F0306</t>
  </si>
  <si>
    <t>F0307</t>
  </si>
  <si>
    <t>F0308</t>
  </si>
  <si>
    <t>F0309</t>
  </si>
  <si>
    <t>F0310</t>
  </si>
  <si>
    <t>F0311</t>
  </si>
  <si>
    <t>F0312</t>
  </si>
  <si>
    <t>F0313</t>
  </si>
  <si>
    <t>F0314</t>
  </si>
  <si>
    <t>F0315</t>
  </si>
  <si>
    <t>F0502</t>
    <phoneticPr fontId="2" type="noConversion"/>
  </si>
  <si>
    <t>F0503</t>
    <phoneticPr fontId="2" type="noConversion"/>
  </si>
  <si>
    <t>F0504</t>
  </si>
  <si>
    <t>F0505</t>
  </si>
  <si>
    <t>F0506</t>
  </si>
  <si>
    <t>F0507</t>
  </si>
  <si>
    <t>F0508</t>
  </si>
  <si>
    <t>F0509</t>
  </si>
  <si>
    <t>F0510</t>
  </si>
  <si>
    <t>F0511</t>
  </si>
  <si>
    <t>F0512</t>
  </si>
  <si>
    <t>F0513</t>
  </si>
  <si>
    <t>F0514</t>
  </si>
  <si>
    <t>F0515</t>
  </si>
  <si>
    <t>H0102</t>
    <phoneticPr fontId="2" type="noConversion"/>
  </si>
  <si>
    <t>H0103</t>
    <phoneticPr fontId="2" type="noConversion"/>
  </si>
  <si>
    <t>H0104</t>
  </si>
  <si>
    <t>H0105</t>
  </si>
  <si>
    <t>H0106</t>
  </si>
  <si>
    <t>H0107</t>
  </si>
  <si>
    <t>H0108</t>
  </si>
  <si>
    <t>H0109</t>
  </si>
  <si>
    <t>H0110</t>
  </si>
  <si>
    <t>H0111</t>
  </si>
  <si>
    <t>H0112</t>
  </si>
  <si>
    <t>H0113</t>
  </si>
  <si>
    <t>H0114</t>
  </si>
  <si>
    <t>H0115</t>
  </si>
  <si>
    <t>H0202</t>
    <phoneticPr fontId="2" type="noConversion"/>
  </si>
  <si>
    <t>H0203</t>
    <phoneticPr fontId="2" type="noConversion"/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</si>
  <si>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</si>
  <si>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</si>
  <si>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</si>
  <si>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</si>
  <si>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</si>
  <si>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</si>
  <si>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</si>
  <si>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</si>
  <si>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</si>
  <si>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</si>
  <si>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</si>
  <si>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</si>
  <si>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H0302</t>
    <phoneticPr fontId="2" type="noConversion"/>
  </si>
  <si>
    <t>H0303</t>
    <phoneticPr fontId="2" type="noConversion"/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</si>
  <si>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</si>
  <si>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</si>
  <si>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</si>
  <si>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</si>
  <si>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</si>
  <si>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</si>
  <si>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</si>
  <si>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</si>
  <si>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</si>
  <si>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</si>
  <si>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</si>
  <si>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</si>
  <si>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H0502</t>
    <phoneticPr fontId="2" type="noConversion"/>
  </si>
  <si>
    <t>H0503</t>
    <phoneticPr fontId="2" type="noConversion"/>
  </si>
  <si>
    <t>H0504</t>
  </si>
  <si>
    <t>H0505</t>
  </si>
  <si>
    <t>H0506</t>
  </si>
  <si>
    <t>H0507</t>
  </si>
  <si>
    <t>H0508</t>
  </si>
  <si>
    <t>H0509</t>
  </si>
  <si>
    <t>H0510</t>
  </si>
  <si>
    <t>H0511</t>
  </si>
  <si>
    <t>H0512</t>
  </si>
  <si>
    <t>H0513</t>
  </si>
  <si>
    <t>H0514</t>
  </si>
  <si>
    <t>H0515</t>
  </si>
  <si>
    <t>*此頁數字為計算公式參照，請勿變換位置</t>
    <phoneticPr fontId="2" type="noConversion"/>
  </si>
  <si>
    <t>總戶數</t>
    <phoneticPr fontId="2" type="noConversion"/>
  </si>
  <si>
    <t>總坪數</t>
    <phoneticPr fontId="2" type="noConversion"/>
  </si>
  <si>
    <t>一般車位數</t>
    <phoneticPr fontId="2" type="noConversion"/>
  </si>
  <si>
    <t>子母車位數</t>
    <phoneticPr fontId="2" type="noConversion"/>
  </si>
  <si>
    <t>季繳戶數</t>
    <phoneticPr fontId="2" type="noConversion"/>
  </si>
  <si>
    <t>季繳優惠</t>
    <phoneticPr fontId="2" type="noConversion"/>
  </si>
  <si>
    <t>年繳戶數</t>
    <phoneticPr fontId="2" type="noConversion"/>
  </si>
  <si>
    <t>年繳優惠</t>
    <phoneticPr fontId="2" type="noConversion"/>
  </si>
  <si>
    <t>房屋管理費每坪</t>
    <phoneticPr fontId="2" type="noConversion"/>
  </si>
  <si>
    <t>一般車位管理費</t>
    <phoneticPr fontId="2" type="noConversion"/>
  </si>
  <si>
    <t>子母車位管理費</t>
    <phoneticPr fontId="2" type="noConversion"/>
  </si>
  <si>
    <t>社區統一編號</t>
    <phoneticPr fontId="2" type="noConversion"/>
  </si>
  <si>
    <t>92104827</t>
    <phoneticPr fontId="2" type="noConversion"/>
  </si>
  <si>
    <t>資料處理日(今日)</t>
    <phoneticPr fontId="2" type="noConversion"/>
  </si>
  <si>
    <t>管理費月份</t>
    <phoneticPr fontId="2" type="noConversion"/>
  </si>
  <si>
    <t>管理費年份</t>
    <phoneticPr fontId="2" type="noConversion"/>
  </si>
  <si>
    <t>元大銀行資料</t>
    <phoneticPr fontId="2" type="noConversion"/>
  </si>
  <si>
    <t>代繳戶數</t>
    <phoneticPr fontId="2" type="noConversion"/>
  </si>
  <si>
    <t>代繳業務代號</t>
    <phoneticPr fontId="2" type="noConversion"/>
  </si>
  <si>
    <t>00441</t>
    <phoneticPr fontId="2" type="noConversion"/>
  </si>
  <si>
    <t>代繳扣款日</t>
    <phoneticPr fontId="2" type="noConversion"/>
  </si>
  <si>
    <t>收款企業名稱</t>
  </si>
  <si>
    <t>翡翠流域大樓管理委員會</t>
  </si>
  <si>
    <t>收款企業地址</t>
  </si>
  <si>
    <t>高雄市左營區桃子園路69號1樓</t>
  </si>
  <si>
    <t>收款企業電話</t>
  </si>
  <si>
    <t>07-5880987</t>
  </si>
  <si>
    <t>費用名稱</t>
  </si>
  <si>
    <t>管理費</t>
  </si>
  <si>
    <t>期別</t>
  </si>
  <si>
    <t>企業代號</t>
  </si>
  <si>
    <t>38002</t>
    <phoneticPr fontId="2" type="noConversion"/>
  </si>
  <si>
    <t>超商繳款期限</t>
    <phoneticPr fontId="2" type="noConversion"/>
  </si>
  <si>
    <t>超商寬限期限</t>
    <phoneticPr fontId="2" type="noConversion"/>
  </si>
  <si>
    <t>地址前置</t>
    <phoneticPr fontId="2" type="noConversion"/>
  </si>
  <si>
    <t>高雄市左營區813009</t>
  </si>
  <si>
    <t>繳款人姓名</t>
  </si>
  <si>
    <t>虛擬帳號</t>
  </si>
  <si>
    <t>第二段條碼</t>
  </si>
  <si>
    <t>繳費年月</t>
  </si>
  <si>
    <t>銷帳狀態</t>
  </si>
  <si>
    <t>自動變更紀錄(舊紀錄可移除)</t>
    <phoneticPr fontId="2" type="noConversion"/>
  </si>
  <si>
    <t>翡翠流域行政規費</t>
    <phoneticPr fontId="2" type="noConversion"/>
  </si>
  <si>
    <t>戶別</t>
    <phoneticPr fontId="2" type="noConversion"/>
  </si>
  <si>
    <t>違規編號</t>
    <phoneticPr fontId="2" type="noConversion"/>
  </si>
  <si>
    <t>訊息</t>
    <phoneticPr fontId="2" type="noConversion"/>
  </si>
  <si>
    <t>通訊欄3</t>
    <phoneticPr fontId="2" type="noConversion"/>
  </si>
  <si>
    <t>總車位</t>
    <phoneticPr fontId="2" type="noConversion"/>
  </si>
  <si>
    <t>坪數</t>
  </si>
  <si>
    <t>車位1</t>
    <phoneticPr fontId="2" type="noConversion"/>
  </si>
  <si>
    <t>車位2</t>
  </si>
  <si>
    <t>地址</t>
  </si>
  <si>
    <t>月房屋管理費</t>
    <phoneticPr fontId="2" type="noConversion"/>
  </si>
  <si>
    <t>月車位管理費</t>
    <phoneticPr fontId="2" type="noConversion"/>
  </si>
  <si>
    <t>先鋒路36號</t>
    <phoneticPr fontId="2" type="noConversion"/>
  </si>
  <si>
    <t>桃子園路101號2樓</t>
  </si>
  <si>
    <t>桃子園路101號3樓</t>
  </si>
  <si>
    <t>桃子園路101號4樓</t>
  </si>
  <si>
    <t>桃子園路101號5樓</t>
  </si>
  <si>
    <t>桃子園路101號6樓</t>
  </si>
  <si>
    <t>桃子園路101號7樓</t>
  </si>
  <si>
    <t>桃子園路101號8樓</t>
  </si>
  <si>
    <t>桃子園路101號9樓</t>
  </si>
  <si>
    <t>桃子園路101號10樓</t>
  </si>
  <si>
    <t>桃子園路101號11樓</t>
  </si>
  <si>
    <t>桃子園路101號12樓</t>
  </si>
  <si>
    <t>桃子園路101號13樓</t>
  </si>
  <si>
    <t>桃子園路101號14樓</t>
  </si>
  <si>
    <t>桃子園路101號15樓</t>
  </si>
  <si>
    <t>桃子園路99號2樓</t>
  </si>
  <si>
    <t>桃子園路99號3樓</t>
    <phoneticPr fontId="2" type="noConversion"/>
  </si>
  <si>
    <t>桃子園路99號4樓</t>
  </si>
  <si>
    <t>桃子園路99號5樓</t>
  </si>
  <si>
    <t>桃子園路99號6樓</t>
  </si>
  <si>
    <t>桃子園路99號7樓</t>
  </si>
  <si>
    <t>桃子園路99號8樓</t>
  </si>
  <si>
    <t>桃子園路99號9樓</t>
  </si>
  <si>
    <t>桃子園路99號10樓</t>
  </si>
  <si>
    <t>桃子園路99號11樓</t>
  </si>
  <si>
    <t>桃子園路99號12樓</t>
  </si>
  <si>
    <t>桃子園路99號13樓</t>
  </si>
  <si>
    <t>桃子園路99號14樓</t>
  </si>
  <si>
    <t>桃子園路99號15樓</t>
  </si>
  <si>
    <t>桃子園路97號2樓</t>
  </si>
  <si>
    <t>桃子園路97號3樓</t>
    <phoneticPr fontId="2" type="noConversion"/>
  </si>
  <si>
    <t>桃子園路97號4樓</t>
  </si>
  <si>
    <t>桃子園路97號5樓</t>
  </si>
  <si>
    <t>桃子園路97號6樓</t>
  </si>
  <si>
    <t>桃子園路97號7樓</t>
  </si>
  <si>
    <t>桃子園路97號8樓</t>
  </si>
  <si>
    <t>桃子園路97號9樓</t>
  </si>
  <si>
    <t>桃子園路97號10樓</t>
  </si>
  <si>
    <t>桃子園路97號11樓</t>
  </si>
  <si>
    <t>桃子園路97號12樓</t>
  </si>
  <si>
    <t>桃子園路97號13樓</t>
  </si>
  <si>
    <t>桃子園路97號14樓</t>
  </si>
  <si>
    <t>桃子園路97號15樓</t>
  </si>
  <si>
    <t>桃子園路103號2樓</t>
  </si>
  <si>
    <t>桃子園路103號3樓</t>
    <phoneticPr fontId="2" type="noConversion"/>
  </si>
  <si>
    <t>桃子園路103號4樓</t>
  </si>
  <si>
    <t>桃子園路103號5樓</t>
  </si>
  <si>
    <t>桃子園路103號6樓</t>
  </si>
  <si>
    <t>桃子園路103號7樓</t>
  </si>
  <si>
    <t>桃子園路103號8樓</t>
  </si>
  <si>
    <t>桃子園路103號9樓</t>
  </si>
  <si>
    <t>桃子園路103號10樓</t>
  </si>
  <si>
    <t>桃子園路103號11樓</t>
  </si>
  <si>
    <t>桃子園路103號12樓</t>
  </si>
  <si>
    <t>桃子園路103號13樓</t>
  </si>
  <si>
    <t>桃子園路103號14樓</t>
  </si>
  <si>
    <t>桃子園路103號15樓</t>
  </si>
  <si>
    <t>先鋒路32號</t>
  </si>
  <si>
    <t>桃子園路93號2樓</t>
    <phoneticPr fontId="2" type="noConversion"/>
  </si>
  <si>
    <t>桃子園路93號3樓</t>
    <phoneticPr fontId="2" type="noConversion"/>
  </si>
  <si>
    <t>桃子園路93號4樓</t>
  </si>
  <si>
    <t>桃子園路93號5樓</t>
  </si>
  <si>
    <t>桃子園路93號6樓</t>
  </si>
  <si>
    <t>桃子園路93號7樓</t>
  </si>
  <si>
    <t>桃子園路93號8樓</t>
  </si>
  <si>
    <t>桃子園路93號9樓</t>
  </si>
  <si>
    <t>桃子園路93號10樓</t>
  </si>
  <si>
    <t>桃子園路93號11樓</t>
  </si>
  <si>
    <t>桃子園路93號12樓</t>
  </si>
  <si>
    <t>桃子園路93號13樓</t>
  </si>
  <si>
    <t>桃子園路93號14樓</t>
  </si>
  <si>
    <t>桃子園路93號15樓</t>
  </si>
  <si>
    <t>先鋒路30號</t>
    <phoneticPr fontId="2" type="noConversion"/>
  </si>
  <si>
    <t>桃子園路91號2樓</t>
    <phoneticPr fontId="2" type="noConversion"/>
  </si>
  <si>
    <t>桃子園路91號3樓</t>
    <phoneticPr fontId="2" type="noConversion"/>
  </si>
  <si>
    <t>桃子園路91號4樓</t>
  </si>
  <si>
    <t>桃子園路91號5樓</t>
  </si>
  <si>
    <t>桃子園路91號6樓</t>
  </si>
  <si>
    <t>桃子園路91號7樓</t>
  </si>
  <si>
    <t>桃子園路91號8樓</t>
  </si>
  <si>
    <t>桃子園路91號9樓</t>
  </si>
  <si>
    <t>桃子園路91號10樓</t>
  </si>
  <si>
    <t>桃子園路91號11樓</t>
  </si>
  <si>
    <t>桃子園路91號12樓</t>
  </si>
  <si>
    <t>桃子園路91號13樓</t>
  </si>
  <si>
    <t>桃子園路91號14樓</t>
  </si>
  <si>
    <t>桃子園路91號15樓</t>
  </si>
  <si>
    <t>先鋒路28號</t>
  </si>
  <si>
    <t>桃子園路89號2樓</t>
  </si>
  <si>
    <t>桃子園路89號3樓</t>
  </si>
  <si>
    <t>桃子園路89號4樓</t>
  </si>
  <si>
    <t>桃子園路89號5樓</t>
  </si>
  <si>
    <t>桃子園路89號6樓</t>
  </si>
  <si>
    <t>桃子園路89號7樓</t>
  </si>
  <si>
    <t>桃子園路89號8樓</t>
  </si>
  <si>
    <t>桃子園路89號9樓</t>
  </si>
  <si>
    <t>桃子園路89號10樓</t>
  </si>
  <si>
    <t>桃子園路89號11樓</t>
  </si>
  <si>
    <t>桃子園路89號12樓</t>
  </si>
  <si>
    <t>桃子園路89號13樓</t>
  </si>
  <si>
    <t>桃子園路89號14樓</t>
  </si>
  <si>
    <t>桃子園路89號15樓</t>
  </si>
  <si>
    <t>桃子園路95號2樓</t>
  </si>
  <si>
    <t>桃子園路95號3樓</t>
    <phoneticPr fontId="2" type="noConversion"/>
  </si>
  <si>
    <t>桃子園路95號4樓</t>
  </si>
  <si>
    <t>桃子園路95號5樓</t>
  </si>
  <si>
    <t>桃子園路95號6樓</t>
  </si>
  <si>
    <t>桃子園路95號7樓</t>
  </si>
  <si>
    <t>桃子園路95號8樓</t>
  </si>
  <si>
    <t>桃子園路95號9樓</t>
  </si>
  <si>
    <t>桃子園路95號10樓</t>
  </si>
  <si>
    <t>桃子園路95號11樓</t>
  </si>
  <si>
    <t>桃子園路95號12樓</t>
  </si>
  <si>
    <t>桃子園路95號13樓</t>
  </si>
  <si>
    <t>桃子園路95號14樓</t>
  </si>
  <si>
    <t>桃子園路95號15樓</t>
  </si>
  <si>
    <t>桃子園路77號2樓</t>
  </si>
  <si>
    <t>桃子園路77號3樓</t>
    <phoneticPr fontId="2" type="noConversion"/>
  </si>
  <si>
    <t>桃子園路77號4樓</t>
  </si>
  <si>
    <t>桃子園路77號5樓</t>
  </si>
  <si>
    <t>桃子園路77號6樓</t>
  </si>
  <si>
    <t>桃子園路77號7樓</t>
  </si>
  <si>
    <t>桃子園路77號8樓</t>
  </si>
  <si>
    <t>桃子園路77號9樓</t>
  </si>
  <si>
    <t>桃子園路77號10樓</t>
  </si>
  <si>
    <t>桃子園路77號11樓</t>
  </si>
  <si>
    <t>桃子園路77號12樓</t>
  </si>
  <si>
    <t>桃子園路77號13樓</t>
  </si>
  <si>
    <t>桃子園路77號14樓</t>
  </si>
  <si>
    <t>桃子園路77號15樓</t>
  </si>
  <si>
    <t>桃子園路87號2樓</t>
  </si>
  <si>
    <t>桃子園路87號3樓</t>
    <phoneticPr fontId="2" type="noConversion"/>
  </si>
  <si>
    <t>桃子園路87號4樓</t>
  </si>
  <si>
    <t>桃子園路87號5樓</t>
  </si>
  <si>
    <t>桃子園路87號6樓</t>
  </si>
  <si>
    <t>桃子園路87號7樓</t>
  </si>
  <si>
    <t>桃子園路87號8樓</t>
  </si>
  <si>
    <t>桃子園路87號9樓</t>
  </si>
  <si>
    <t>桃子園路87號10樓</t>
  </si>
  <si>
    <t>桃子園路87號11樓</t>
  </si>
  <si>
    <t>桃子園路87號12樓</t>
  </si>
  <si>
    <t>桃子園路87號13樓</t>
  </si>
  <si>
    <t>桃子園路87號14樓</t>
  </si>
  <si>
    <t>桃子園路87號15樓</t>
  </si>
  <si>
    <t>桃子園路85號2樓</t>
  </si>
  <si>
    <t>桃子園路85號3樓</t>
    <phoneticPr fontId="2" type="noConversion"/>
  </si>
  <si>
    <t>桃子園路85號4樓</t>
  </si>
  <si>
    <t>桃子園路85號5樓</t>
  </si>
  <si>
    <t>桃子園路85號6樓</t>
  </si>
  <si>
    <t>桃子園路85號7樓</t>
  </si>
  <si>
    <t>桃子園路85號8樓</t>
  </si>
  <si>
    <t>桃子園路85號9樓</t>
  </si>
  <si>
    <t>桃子園路85號10樓</t>
  </si>
  <si>
    <t>桃子園路85號11樓</t>
  </si>
  <si>
    <t>桃子園路85號12樓</t>
  </si>
  <si>
    <t>桃子園路85號13樓</t>
  </si>
  <si>
    <t>桃子園路85號14樓</t>
  </si>
  <si>
    <t>桃子園路85號15樓</t>
  </si>
  <si>
    <t>先鋒路26號</t>
  </si>
  <si>
    <t>桃子園路83號2樓</t>
    <phoneticPr fontId="2" type="noConversion"/>
  </si>
  <si>
    <t>桃子園路83號3樓</t>
  </si>
  <si>
    <t>桃子園路83號4樓</t>
  </si>
  <si>
    <t>桃子園路83號5樓</t>
  </si>
  <si>
    <t>桃子園路83號6樓</t>
  </si>
  <si>
    <t>桃子園路83號7樓</t>
  </si>
  <si>
    <t>桃子園路83號8樓</t>
  </si>
  <si>
    <t>桃子園路83號9樓</t>
  </si>
  <si>
    <t>桃子園路83號10樓</t>
  </si>
  <si>
    <t>桃子園路83號11樓</t>
  </si>
  <si>
    <t>桃子園路83號12樓</t>
  </si>
  <si>
    <t>桃子園路83號13樓</t>
  </si>
  <si>
    <t>桃子園路83號14樓</t>
  </si>
  <si>
    <t>桃子園路83號15樓</t>
  </si>
  <si>
    <t>桃子園路81號2樓</t>
  </si>
  <si>
    <t>桃子園路81號3樓</t>
    <phoneticPr fontId="2" type="noConversion"/>
  </si>
  <si>
    <t>桃子園路81號4樓</t>
  </si>
  <si>
    <t>桃子園路81號5樓</t>
  </si>
  <si>
    <t>桃子園路81號6樓</t>
  </si>
  <si>
    <t>桃子園路81號7樓</t>
  </si>
  <si>
    <t>桃子園路81號8樓</t>
  </si>
  <si>
    <t>桃子園路81號9樓</t>
  </si>
  <si>
    <t>桃子園路81號10樓</t>
  </si>
  <si>
    <t>桃子園路81號11樓</t>
  </si>
  <si>
    <t>桃子園路81號12樓</t>
  </si>
  <si>
    <t>桃子園路81號13樓</t>
  </si>
  <si>
    <t>桃子園路81號14樓</t>
  </si>
  <si>
    <t>桃子園路81號15樓</t>
  </si>
  <si>
    <t>先鋒路22號</t>
  </si>
  <si>
    <t>桃子園路79號2樓</t>
    <phoneticPr fontId="2" type="noConversion"/>
  </si>
  <si>
    <t>桃子園路79號3樓</t>
  </si>
  <si>
    <t>桃子園路79號4樓</t>
  </si>
  <si>
    <t>桃子園路79號5樓</t>
  </si>
  <si>
    <t>桃子園路79號6樓</t>
  </si>
  <si>
    <t>桃子園路79號7樓</t>
  </si>
  <si>
    <t>桃子園路79號8樓</t>
  </si>
  <si>
    <t>桃子園路79號9樓</t>
  </si>
  <si>
    <t>桃子園路79號10樓</t>
  </si>
  <si>
    <t>桃子園路79號11樓</t>
  </si>
  <si>
    <t>桃子園路79號12樓</t>
  </si>
  <si>
    <t>桃子園路79號13樓</t>
  </si>
  <si>
    <t>桃子園路79號14樓</t>
  </si>
  <si>
    <t>桃子園路79號15樓</t>
  </si>
  <si>
    <t>桃子園路69號3樓</t>
    <phoneticPr fontId="2" type="noConversion"/>
  </si>
  <si>
    <t>桃子園路69號4樓</t>
    <phoneticPr fontId="2" type="noConversion"/>
  </si>
  <si>
    <t>桃子園路69號5樓</t>
  </si>
  <si>
    <t>桃子園路69號6樓</t>
  </si>
  <si>
    <t>桃子園路69號7樓</t>
  </si>
  <si>
    <t>桃子園路69號8樓</t>
  </si>
  <si>
    <t>桃子園路69號9樓</t>
  </si>
  <si>
    <t>桃子園路69號10樓</t>
  </si>
  <si>
    <t>桃子園路69號11樓</t>
  </si>
  <si>
    <t>桃子園路69號12樓</t>
  </si>
  <si>
    <t>桃子園路69號13樓</t>
  </si>
  <si>
    <t>桃子園路69號14樓</t>
  </si>
  <si>
    <t>桃子園路69號15樓</t>
  </si>
  <si>
    <t>桃子園路75號3樓</t>
  </si>
  <si>
    <t>桃子園路75號4樓</t>
    <phoneticPr fontId="2" type="noConversion"/>
  </si>
  <si>
    <t>桃子園路75號5樓</t>
  </si>
  <si>
    <t>桃子園路75號6樓</t>
  </si>
  <si>
    <t>桃子園路75號7樓</t>
  </si>
  <si>
    <t>桃子園路75號8樓</t>
  </si>
  <si>
    <t>桃子園路75號9樓</t>
  </si>
  <si>
    <t>桃子園路75號10樓</t>
  </si>
  <si>
    <t>桃子園路75號11樓</t>
  </si>
  <si>
    <t>桃子園路75號12樓</t>
  </si>
  <si>
    <t>桃子園路75號13樓</t>
  </si>
  <si>
    <t>桃子園路75號14樓</t>
  </si>
  <si>
    <t>桃子園路75號15樓</t>
  </si>
  <si>
    <t>桃子園路73號2樓</t>
    <phoneticPr fontId="2" type="noConversion"/>
  </si>
  <si>
    <t>桃子園路73號3樓</t>
    <phoneticPr fontId="2" type="noConversion"/>
  </si>
  <si>
    <t>桃子園路73號4樓</t>
  </si>
  <si>
    <t>桃子園路73號5樓</t>
  </si>
  <si>
    <t>桃子園路73號6樓</t>
  </si>
  <si>
    <t>桃子園路73號7樓</t>
  </si>
  <si>
    <t>桃子園路73號8樓</t>
  </si>
  <si>
    <t>桃子園路73號9樓</t>
  </si>
  <si>
    <t>桃子園路73號10樓</t>
  </si>
  <si>
    <t>桃子園路73號11樓</t>
  </si>
  <si>
    <t>桃子園路73號12樓</t>
  </si>
  <si>
    <t>桃子園路73號13樓</t>
  </si>
  <si>
    <t>桃子園路73號14樓</t>
  </si>
  <si>
    <t>桃子園路73號15樓</t>
  </si>
  <si>
    <t>桃子園路71號2樓</t>
    <phoneticPr fontId="2" type="noConversion"/>
  </si>
  <si>
    <t>桃子園路71號3樓</t>
    <phoneticPr fontId="2" type="noConversion"/>
  </si>
  <si>
    <t>桃子園路71號4樓</t>
  </si>
  <si>
    <t>桃子園路71號5樓</t>
  </si>
  <si>
    <t>桃子園路71號6樓</t>
  </si>
  <si>
    <t>桃子園路71號7樓</t>
  </si>
  <si>
    <t>桃子園路71號8樓</t>
  </si>
  <si>
    <t>桃子園路71號9樓</t>
  </si>
  <si>
    <t>桃子園路71號10樓</t>
  </si>
  <si>
    <t>桃子園路71號11樓</t>
  </si>
  <si>
    <t>桃子園路71號12樓</t>
  </si>
  <si>
    <t>桃子園路71號13樓</t>
  </si>
  <si>
    <t>桃子園路71號14樓</t>
  </si>
  <si>
    <t>桃子園路71號15樓</t>
  </si>
  <si>
    <t>桃子園路61號2樓</t>
  </si>
  <si>
    <t>桃子園路61號3樓</t>
    <phoneticPr fontId="2" type="noConversion"/>
  </si>
  <si>
    <t>桃子園路61號4樓</t>
  </si>
  <si>
    <t>桃子園路61號5樓</t>
  </si>
  <si>
    <t>桃子園路61號6樓</t>
  </si>
  <si>
    <t>桃子園路61號7樓</t>
  </si>
  <si>
    <t>桃子園路61號8樓</t>
  </si>
  <si>
    <t>桃子園路61號9樓</t>
  </si>
  <si>
    <t>桃子園路61號10樓</t>
  </si>
  <si>
    <t>桃子園路61號11樓</t>
  </si>
  <si>
    <t>桃子園路61號12樓</t>
  </si>
  <si>
    <t>桃子園路61號13樓</t>
  </si>
  <si>
    <t>桃子園路61號14樓</t>
  </si>
  <si>
    <t>桃子園路61號15樓</t>
  </si>
  <si>
    <t>桃子園路67號2樓</t>
  </si>
  <si>
    <t>桃子園路67號3樓</t>
    <phoneticPr fontId="2" type="noConversion"/>
  </si>
  <si>
    <t>桃子園路67號4樓</t>
  </si>
  <si>
    <t>桃子園路67號5樓</t>
  </si>
  <si>
    <t>桃子園路67號6樓</t>
  </si>
  <si>
    <t>桃子園路67號7樓</t>
  </si>
  <si>
    <t>桃子園路67號8樓</t>
  </si>
  <si>
    <t>桃子園路67號9樓</t>
  </si>
  <si>
    <t>桃子園路67號10樓</t>
  </si>
  <si>
    <t>桃子園路67號11樓</t>
  </si>
  <si>
    <t>桃子園路67號12樓</t>
  </si>
  <si>
    <t>桃子園路67號13樓</t>
  </si>
  <si>
    <t>桃子園路67號14樓</t>
  </si>
  <si>
    <t>桃子園路67號15樓</t>
  </si>
  <si>
    <t>桃子園路65號2樓</t>
  </si>
  <si>
    <t>桃子園路65號3樓</t>
    <phoneticPr fontId="2" type="noConversion"/>
  </si>
  <si>
    <t>桃子園路65號4樓</t>
  </si>
  <si>
    <t>桃子園路65號5樓</t>
  </si>
  <si>
    <t>桃子園路65號6樓</t>
  </si>
  <si>
    <t>桃子園路65號7樓</t>
  </si>
  <si>
    <t>桃子園路65號8樓</t>
  </si>
  <si>
    <t>桃子園路65號9樓</t>
  </si>
  <si>
    <t>桃子園路65號10樓</t>
  </si>
  <si>
    <t>桃子園路65號11樓</t>
  </si>
  <si>
    <t>桃子園路65號12樓</t>
  </si>
  <si>
    <t>桃子園路65號13樓</t>
  </si>
  <si>
    <t>桃子園路65號14樓</t>
  </si>
  <si>
    <t>桃子園路65號15樓</t>
  </si>
  <si>
    <t>桃子園路63號2樓</t>
  </si>
  <si>
    <t>桃子園路63號3樓</t>
    <phoneticPr fontId="2" type="noConversion"/>
  </si>
  <si>
    <t>桃子園路63號4樓</t>
  </si>
  <si>
    <t>桃子園路63號5樓</t>
  </si>
  <si>
    <t>桃子園路63號6樓</t>
  </si>
  <si>
    <t>桃子園路63號7樓</t>
  </si>
  <si>
    <t>桃子園路63號8樓</t>
  </si>
  <si>
    <t>桃子園路63號9樓</t>
  </si>
  <si>
    <t>桃子園路63號10樓</t>
  </si>
  <si>
    <t>桃子園路63號11樓</t>
  </si>
  <si>
    <t>桃子園路63號12樓</t>
  </si>
  <si>
    <t>桃子園路63號13樓</t>
  </si>
  <si>
    <t>桃子園路63號14樓</t>
  </si>
  <si>
    <t>桃子園路63號15樓</t>
  </si>
  <si>
    <t>通訊欄4</t>
    <phoneticPr fontId="2" type="noConversion"/>
  </si>
  <si>
    <t>收款企業名稱</t>
    <phoneticPr fontId="7" type="noConversion"/>
  </si>
  <si>
    <t>翡翠流域大樓管理委員會</t>
    <phoneticPr fontId="7" type="noConversion"/>
  </si>
  <si>
    <t>收款企業地址</t>
    <phoneticPr fontId="7" type="noConversion"/>
  </si>
  <si>
    <t>高雄市左營區桃子園路69號1樓</t>
    <phoneticPr fontId="7" type="noConversion"/>
  </si>
  <si>
    <t>收款企業電話</t>
    <phoneticPr fontId="7" type="noConversion"/>
  </si>
  <si>
    <t>07-5880987</t>
    <phoneticPr fontId="7" type="noConversion"/>
  </si>
  <si>
    <t>費用名稱</t>
    <phoneticPr fontId="7" type="noConversion"/>
  </si>
  <si>
    <t>期別</t>
    <phoneticPr fontId="7" type="noConversion"/>
  </si>
  <si>
    <t>企業代號</t>
    <phoneticPr fontId="7" type="noConversion"/>
  </si>
  <si>
    <t>必填</t>
    <phoneticPr fontId="7" type="noConversion"/>
  </si>
  <si>
    <t>繳款人識別碼
(限20位英數字)</t>
    <phoneticPr fontId="7" type="noConversion"/>
  </si>
  <si>
    <t>繳款人姓名
(限20位英數字)</t>
    <phoneticPr fontId="7" type="noConversion"/>
  </si>
  <si>
    <t>地址
(限150位中文字)</t>
    <phoneticPr fontId="7" type="noConversion"/>
  </si>
  <si>
    <t>繳款總金額</t>
    <phoneticPr fontId="7" type="noConversion"/>
  </si>
  <si>
    <t>超商繳款期限
(yyyymmdd)</t>
    <phoneticPr fontId="7" type="noConversion"/>
  </si>
  <si>
    <t>超商寬限期限
(yyyymmdd)</t>
    <phoneticPr fontId="7" type="noConversion"/>
  </si>
  <si>
    <t>繳費年月
(限20位英數字)</t>
    <phoneticPr fontId="7" type="noConversion"/>
  </si>
  <si>
    <t>通訊欄
(限190位中文字)</t>
    <phoneticPr fontId="7" type="noConversion"/>
  </si>
  <si>
    <t>備註
(限80位中文字)</t>
    <phoneticPr fontId="7" type="noConversion"/>
  </si>
  <si>
    <t>房屋管理費</t>
    <phoneticPr fontId="7" type="noConversion"/>
  </si>
  <si>
    <t>車位管理費</t>
    <phoneticPr fontId="7" type="noConversion"/>
  </si>
  <si>
    <t>前期欠款</t>
    <phoneticPr fontId="7" type="noConversion"/>
  </si>
  <si>
    <t>項目6</t>
  </si>
  <si>
    <t>項目7</t>
  </si>
  <si>
    <t>項目8</t>
  </si>
  <si>
    <t>項目9</t>
  </si>
  <si>
    <t>項目10</t>
  </si>
  <si>
    <t>虛擬帳號銷帳碼</t>
    <phoneticPr fontId="7" type="noConversion"/>
  </si>
  <si>
    <t>條碼銷帳碼</t>
    <phoneticPr fontId="7" type="noConversion"/>
  </si>
  <si>
    <t>代繳戶名稱</t>
    <phoneticPr fontId="2" type="noConversion"/>
  </si>
  <si>
    <t>帳號</t>
    <phoneticPr fontId="2" type="noConversion"/>
  </si>
  <si>
    <t>用戶號碼</t>
    <phoneticPr fontId="2" type="noConversion"/>
  </si>
  <si>
    <t>繳費金額</t>
    <phoneticPr fontId="2" type="noConversion"/>
  </si>
  <si>
    <t>B0209</t>
    <phoneticPr fontId="2" type="noConversion"/>
  </si>
  <si>
    <t>合計筆數</t>
    <phoneticPr fontId="2" type="noConversion"/>
  </si>
  <si>
    <t>合計金額</t>
    <phoneticPr fontId="2" type="noConversion"/>
  </si>
  <si>
    <t>統一編號:</t>
    <phoneticPr fontId="2" type="noConversion"/>
  </si>
  <si>
    <t>代繳業務代號:</t>
    <phoneticPr fontId="2" type="noConversion"/>
  </si>
  <si>
    <t>委託扣款日:</t>
    <phoneticPr fontId="2" type="noConversion"/>
  </si>
  <si>
    <t>管委會大小章:</t>
    <phoneticPr fontId="2" type="noConversion"/>
  </si>
  <si>
    <t>翡翠流域區權人名單</t>
    <phoneticPr fontId="2" type="noConversion"/>
  </si>
  <si>
    <t>姓名</t>
    <phoneticPr fontId="2" type="noConversion"/>
  </si>
  <si>
    <t>自動扣繳清冊更新</t>
    <phoneticPr fontId="2" type="noConversion"/>
  </si>
  <si>
    <t>自動扣款失敗的通知格式，處理方式</t>
    <phoneticPr fontId="2" type="noConversion"/>
  </si>
  <si>
    <t>確認季、年繳的優惠%</t>
    <phoneticPr fontId="2" type="noConversion"/>
  </si>
  <si>
    <t>季、年繳名單更新</t>
    <phoneticPr fontId="2" type="noConversion"/>
  </si>
  <si>
    <t>A0101,A0201坪數確認</t>
    <phoneticPr fontId="2" type="noConversion"/>
  </si>
  <si>
    <t>車位資料更新</t>
    <phoneticPr fontId="2" type="noConversion"/>
  </si>
  <si>
    <t>區權人名單更新</t>
    <phoneticPr fontId="2" type="noConversion"/>
  </si>
  <si>
    <t>逾兩萬拆單作業</t>
    <phoneticPr fontId="2" type="noConversion"/>
  </si>
  <si>
    <t>繳款人識別碼</t>
  </si>
  <si>
    <t>繳款總額</t>
  </si>
  <si>
    <t>繳費日期</t>
  </si>
  <si>
    <t>繳費通路</t>
  </si>
  <si>
    <t>入帳日期</t>
  </si>
  <si>
    <r>
      <t>翡翠流域管理費流程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</si>
  <si>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r>
      <t>翡翠流域基本資料表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</si>
  <si>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t>*每逢10月進行扣款。新申請須於前一個月(9月)作業。</t>
    <phoneticPr fontId="2" type="noConversion"/>
  </si>
  <si>
    <r>
      <t>翡翠流域坪數表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</si>
  <si>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t>*戶別請勿更動</t>
    <phoneticPr fontId="2" type="noConversion"/>
  </si>
  <si>
    <t>自動扣繳委託扣款日</t>
    <phoneticPr fontId="2" type="noConversion"/>
  </si>
  <si>
    <t>microsoft office 365訂閱</t>
    <phoneticPr fontId="2" type="noConversion"/>
  </si>
  <si>
    <t>待確認項目</t>
    <phoneticPr fontId="2" type="noConversion"/>
  </si>
  <si>
    <t>可擴展項目</t>
    <phoneticPr fontId="2" type="noConversion"/>
  </si>
  <si>
    <t>email 連結</t>
    <phoneticPr fontId="2" type="noConversion"/>
  </si>
  <si>
    <t>line自動通知</t>
    <phoneticPr fontId="2" type="noConversion"/>
  </si>
  <si>
    <t>Code開源上傳Github與維護</t>
    <phoneticPr fontId="2" type="noConversion"/>
  </si>
  <si>
    <t>改用Access Database</t>
    <phoneticPr fontId="2" type="noConversion"/>
  </si>
  <si>
    <t>公告管理費未繳名單</t>
    <phoneticPr fontId="2" type="noConversion"/>
  </si>
  <si>
    <t>戶名</t>
    <phoneticPr fontId="2" type="noConversion"/>
  </si>
  <si>
    <t>未繳期數</t>
    <phoneticPr fontId="2" type="noConversion"/>
  </si>
  <si>
    <t>未繳金額</t>
    <phoneticPr fontId="2" type="noConversion"/>
  </si>
  <si>
    <t>稽催狀況</t>
    <phoneticPr fontId="2" type="noConversion"/>
  </si>
  <si>
    <t>2.上述如有修正，請同步檢查上傳資料訊息欄是否正確</t>
    <phoneticPr fontId="2" type="noConversion"/>
  </si>
  <si>
    <t>繳款單自動下載與配送</t>
    <phoneticPr fontId="2" type="noConversion"/>
  </si>
  <si>
    <t>總覽統計</t>
    <phoneticPr fontId="2" type="noConversion"/>
  </si>
  <si>
    <t>前月未繳戶數*期數</t>
    <phoneticPr fontId="2" type="noConversion"/>
  </si>
  <si>
    <t>本月未繳戶數</t>
    <phoneticPr fontId="2" type="noConversion"/>
  </si>
  <si>
    <t>本月未繳金額</t>
    <phoneticPr fontId="2" type="noConversion"/>
  </si>
  <si>
    <t>當期繳款單數</t>
    <phoneticPr fontId="2" type="noConversion"/>
  </si>
  <si>
    <t>當期自動扣繳數</t>
    <phoneticPr fontId="2" type="noConversion"/>
  </si>
  <si>
    <t>當期繳款單總金額</t>
    <phoneticPr fontId="2" type="noConversion"/>
  </si>
  <si>
    <t>當期自動扣繳總金額</t>
    <phoneticPr fontId="2" type="noConversion"/>
  </si>
  <si>
    <t>先鋒路38號</t>
    <phoneticPr fontId="2" type="noConversion"/>
  </si>
  <si>
    <t>翡翠流域大樓管理費</t>
    <phoneticPr fontId="7" type="noConversion"/>
  </si>
  <si>
    <t>自動產生，請勿手動編輯。各欄位均有指定目的，請勿增刪調整。</t>
    <phoneticPr fontId="2" type="noConversion"/>
  </si>
  <si>
    <t>A0201</t>
  </si>
  <si>
    <t>A0202</t>
  </si>
  <si>
    <t>A0303</t>
  </si>
  <si>
    <t>A0502</t>
  </si>
  <si>
    <t>A0503</t>
  </si>
  <si>
    <t>B0101</t>
  </si>
  <si>
    <t>B0102</t>
  </si>
  <si>
    <t>B0201</t>
  </si>
  <si>
    <t>B0202</t>
  </si>
  <si>
    <t>B0301</t>
  </si>
  <si>
    <t>B0502</t>
  </si>
  <si>
    <t>B0503</t>
  </si>
  <si>
    <t>E0102</t>
  </si>
  <si>
    <t>E0103</t>
  </si>
  <si>
    <t>E0202</t>
  </si>
  <si>
    <t>E0203</t>
  </si>
  <si>
    <t>E0302</t>
  </si>
  <si>
    <t>E0303</t>
  </si>
  <si>
    <t>E0501</t>
  </si>
  <si>
    <t>E0502</t>
  </si>
  <si>
    <t>E0602</t>
  </si>
  <si>
    <t>E0603</t>
  </si>
  <si>
    <t>E0701</t>
  </si>
  <si>
    <t>E0702</t>
  </si>
  <si>
    <t>F0103</t>
  </si>
  <si>
    <t>F0104</t>
  </si>
  <si>
    <t>F0203</t>
  </si>
  <si>
    <t>F0204</t>
  </si>
  <si>
    <t>F0302</t>
  </si>
  <si>
    <t>F0303</t>
  </si>
  <si>
    <t>F0502</t>
  </si>
  <si>
    <t>F0503</t>
  </si>
  <si>
    <t>H0102</t>
  </si>
  <si>
    <t>H0103</t>
  </si>
  <si>
    <t>H0202</t>
  </si>
  <si>
    <t>H0203</t>
  </si>
  <si>
    <t>H0302</t>
  </si>
  <si>
    <t>H0303</t>
  </si>
  <si>
    <t>H0502</t>
  </si>
  <si>
    <t>H0503</t>
  </si>
  <si>
    <t>A0101</t>
  </si>
  <si>
    <t>A0102</t>
  </si>
  <si>
    <t>A0302</t>
  </si>
  <si>
    <t>B0302</t>
  </si>
  <si>
    <t>Email 名單</t>
  </si>
  <si>
    <t>主旨</t>
  </si>
  <si>
    <t>內容文字</t>
  </si>
  <si>
    <t>附件</t>
  </si>
  <si>
    <t>vincent.liu.tw@gmail.com</t>
    <phoneticPr fontId="2" type="noConversion"/>
  </si>
  <si>
    <t>Email 範本</t>
    <phoneticPr fontId="2" type="noConversion"/>
  </si>
  <si>
    <t>subject1</t>
    <phoneticPr fontId="2" type="noConversion"/>
  </si>
  <si>
    <t>subject2</t>
    <phoneticPr fontId="2" type="noConversion"/>
  </si>
  <si>
    <t>greeting1</t>
    <phoneticPr fontId="2" type="noConversion"/>
  </si>
  <si>
    <t>content1</t>
    <phoneticPr fontId="2" type="noConversion"/>
  </si>
  <si>
    <t>content2</t>
    <phoneticPr fontId="2" type="noConversion"/>
  </si>
  <si>
    <t>翡翠流域大樓</t>
    <phoneticPr fontId="2" type="noConversion"/>
  </si>
  <si>
    <t>的住戶您好:</t>
    <phoneticPr fontId="2" type="noConversion"/>
  </si>
  <si>
    <t>祝您萬事如意!</t>
  </si>
  <si>
    <t>signature</t>
    <phoneticPr fontId="2" type="noConversion"/>
  </si>
  <si>
    <t>翡翠流域大樓管理委員會</t>
    <phoneticPr fontId="2" type="noConversion"/>
  </si>
  <si>
    <t>請於繳費期限一周後(確保超商已入帳，22~25日)，至元大銀行網頁下載未銷帳清單。下載完成後記住檔案所在位置。完成後請按右側按鈕開啟。
*上期如有自動扣繳失敗者，請於檔案匯入後，手動於"未銷帳"表，將戶號與金額填入。
*欠繳戶如以其他方式繳款，以至於銀行未銷帳資料不符者，亦可在此時更新。</t>
    <phoneticPr fontId="2" type="noConversion"/>
  </si>
  <si>
    <t>翡翠流域其他費用</t>
    <phoneticPr fontId="2" type="noConversion"/>
  </si>
  <si>
    <t>其他費用</t>
    <phoneticPr fontId="2" type="noConversion"/>
  </si>
  <si>
    <t>每月帳務處理請將上期檔案複製到新的資料夾。資料夾命名請包含年月(如202604)。每個月的檔案請各自保持獨立。完成後請關閉舊檔，並在新的資料夾開啟本檔案。</t>
    <phoneticPr fontId="2" type="noConversion"/>
  </si>
  <si>
    <t>ResidentID</t>
    <phoneticPr fontId="2" type="noConversion"/>
  </si>
  <si>
    <t>feeTotal</t>
    <phoneticPr fontId="2" type="noConversion"/>
  </si>
  <si>
    <t>feeMonth</t>
    <phoneticPr fontId="2" type="noConversion"/>
  </si>
  <si>
    <t>AccountLast4</t>
    <phoneticPr fontId="2" type="noConversion"/>
  </si>
  <si>
    <t>landFee</t>
    <phoneticPr fontId="2" type="noConversion"/>
  </si>
  <si>
    <t>carFee</t>
    <phoneticPr fontId="2" type="noConversion"/>
  </si>
  <si>
    <t>fineFee</t>
    <phoneticPr fontId="2" type="noConversion"/>
  </si>
  <si>
    <t>Message1</t>
    <phoneticPr fontId="2" type="noConversion"/>
  </si>
  <si>
    <t>Message2</t>
    <phoneticPr fontId="2" type="noConversion"/>
  </si>
  <si>
    <t>Message3</t>
    <phoneticPr fontId="2" type="noConversion"/>
  </si>
  <si>
    <t>Message4</t>
    <phoneticPr fontId="2" type="noConversion"/>
  </si>
  <si>
    <t>DocFolderPath</t>
    <phoneticPr fontId="2" type="noConversion"/>
  </si>
  <si>
    <t>DocFileName</t>
    <phoneticPr fontId="2" type="noConversion"/>
  </si>
  <si>
    <t>PdfFolderPath</t>
    <phoneticPr fontId="2" type="noConversion"/>
  </si>
  <si>
    <t>PdfFileName</t>
    <phoneticPr fontId="2" type="noConversion"/>
  </si>
  <si>
    <t>RecipientName</t>
    <phoneticPr fontId="2" type="noConversion"/>
  </si>
  <si>
    <t>RecipientAddress</t>
    <phoneticPr fontId="2" type="noConversion"/>
  </si>
  <si>
    <t>DeductionDate</t>
    <phoneticPr fontId="2" type="noConversion"/>
  </si>
  <si>
    <t>debtFee</t>
    <phoneticPr fontId="2" type="noConversion"/>
  </si>
  <si>
    <t>elseFee</t>
    <phoneticPr fontId="2" type="noConversion"/>
  </si>
  <si>
    <t>請完成元大資料上傳，產生虛擬帳號與pdf繳費單後，下載至pdf目錄當中，以便email自動擷取附件。準備完成後按下右側按鈕寄出Email 繳費單與通知單。</t>
    <phoneticPr fontId="2" type="noConversion"/>
  </si>
  <si>
    <t>CC</t>
    <phoneticPr fontId="2" type="noConversion"/>
  </si>
  <si>
    <t>1.未繳期數為自動加總，請核對上期未繳名單。如有不符(可能原因:程式執行多次，名單重複，其他方式繳納等)，請修正</t>
    <phoneticPr fontId="2" type="noConversion"/>
  </si>
  <si>
    <r>
      <t>代扣通知書操作: 請開啟word檔案"管理費自動扣繳通知.docm"。
匯入資料請選"</t>
    </r>
    <r>
      <rPr>
        <b/>
        <sz val="12"/>
        <color rgb="FFFF0000"/>
        <rFont val="新細明體"/>
        <family val="1"/>
        <charset val="136"/>
        <scheme val="minor"/>
      </rPr>
      <t>是</t>
    </r>
    <r>
      <rPr>
        <sz val="12"/>
        <color theme="1"/>
        <rFont val="新細明體"/>
        <family val="1"/>
        <charset val="136"/>
        <scheme val="minor"/>
      </rPr>
      <t>"。或指定本資料夾下的"</t>
    </r>
    <r>
      <rPr>
        <b/>
        <sz val="12"/>
        <color rgb="FFFF0000"/>
        <rFont val="新細明體"/>
        <family val="1"/>
        <charset val="136"/>
        <scheme val="minor"/>
      </rPr>
      <t>代扣通知.xlsx</t>
    </r>
    <r>
      <rPr>
        <sz val="12"/>
        <color theme="1"/>
        <rFont val="新細明體"/>
        <family val="1"/>
        <charset val="136"/>
        <scheme val="minor"/>
      </rPr>
      <t>"。可能需要啟用巨集。
檔案開啟後選擇選單"郵件"，按下"編輯收件者清單"做適當調整。如果巨集未成功啟動，""編輯收件者清單"將無法選擇，請用"選取收件者":"使用現有清單"，再次選擇"代扣通知.xlsx"。
按下"預覽結果"，檢查資料是否有異常。
選擇選單"翡翠流域"，按下"PDF輸出"。檔案存在pdf資料夾內。</t>
    </r>
    <phoneticPr fontId="2" type="noConversion"/>
  </si>
  <si>
    <t>E0604</t>
    <phoneticPr fontId="2" type="noConversion"/>
  </si>
  <si>
    <t>E0711</t>
    <phoneticPr fontId="2" type="noConversion"/>
  </si>
  <si>
    <t>H0213</t>
    <phoneticPr fontId="2" type="noConversion"/>
  </si>
  <si>
    <t>扣繳月份</t>
  </si>
  <si>
    <t>setoutlas@gmail.com</t>
  </si>
  <si>
    <t>電子郵件</t>
    <phoneticPr fontId="2" type="noConversion"/>
  </si>
  <si>
    <t>備註</t>
    <phoneticPr fontId="2" type="noConversion"/>
  </si>
  <si>
    <t>Notes</t>
    <phoneticPr fontId="2" type="noConversion"/>
  </si>
  <si>
    <t>翡翠流域拆單作業名單</t>
    <phoneticPr fontId="2" type="noConversion"/>
  </si>
  <si>
    <t>拆單戶</t>
    <phoneticPr fontId="2" type="noConversion"/>
  </si>
  <si>
    <t>*上傳資料檔分為兩個: 1.上傳資料, 2.拆單上傳</t>
    <phoneticPr fontId="2" type="noConversion"/>
  </si>
  <si>
    <t>* 總金額超過兩萬會自動放在"拆單上傳"。檔案產生後請手動處理金額拆分方式。</t>
    <phoneticPr fontId="2" type="noConversion"/>
  </si>
  <si>
    <t>* 另外如有拆單需求者，可列在此名單當中，會自動放進"拆單上傳"中。</t>
    <phoneticPr fontId="2" type="noConversion"/>
  </si>
  <si>
    <t>9月進行年繳申請，12,3,6,9月進行季繳申請。如有變動請更新季繳名單與年繳名單。如有未銷帳將自動移除優惠資格。其餘月份請勿變動名單。</t>
    <phoneticPr fontId="2" type="noConversion"/>
  </si>
  <si>
    <t>請先確認是否需要新增行政規費或其他費用。檢查公告未繳sheet是否與公告相符。區權人或自動扣繳如有變動也請更新。完成後請按下右側按鈕產生當期繳納資料。</t>
    <phoneticPr fontId="2" type="noConversion"/>
  </si>
  <si>
    <t>*預留發生之其他費用。機車、自行車位租金，購買公設點數等。此費用可為負值，例如參加區權會減免200元，可輸入-200。</t>
    <phoneticPr fontId="2" type="noConversion"/>
  </si>
  <si>
    <t>期管理費通知</t>
    <phoneticPr fontId="2" type="noConversion"/>
  </si>
  <si>
    <t>期繳費單或通知書已隨附於信件中，敬請按時繳納。</t>
    <phoneticPr fontId="2" type="noConversion"/>
  </si>
  <si>
    <t>A0305</t>
    <phoneticPr fontId="2" type="noConversion"/>
  </si>
  <si>
    <t>A0513</t>
    <phoneticPr fontId="2" type="noConversion"/>
  </si>
  <si>
    <t>B0112</t>
    <phoneticPr fontId="2" type="noConversion"/>
  </si>
  <si>
    <t>E0110</t>
    <phoneticPr fontId="2" type="noConversion"/>
  </si>
  <si>
    <t>E0205</t>
    <phoneticPr fontId="2" type="noConversion"/>
  </si>
  <si>
    <t>E0211</t>
    <phoneticPr fontId="2" type="noConversion"/>
  </si>
  <si>
    <t>E0514</t>
    <phoneticPr fontId="2" type="noConversion"/>
  </si>
  <si>
    <t>F0111</t>
    <phoneticPr fontId="2" type="noConversion"/>
  </si>
  <si>
    <t>F0213</t>
    <phoneticPr fontId="2" type="noConversion"/>
  </si>
  <si>
    <t>F0215</t>
    <phoneticPr fontId="2" type="noConversion"/>
  </si>
  <si>
    <t>F0506</t>
    <phoneticPr fontId="2" type="noConversion"/>
  </si>
  <si>
    <t>H0111</t>
    <phoneticPr fontId="2" type="noConversion"/>
  </si>
  <si>
    <t>H0313</t>
    <phoneticPr fontId="2" type="noConversion"/>
  </si>
  <si>
    <t>F0214</t>
    <phoneticPr fontId="2" type="noConversion"/>
  </si>
  <si>
    <t>H0205</t>
    <phoneticPr fontId="2" type="noConversion"/>
  </si>
  <si>
    <t>產生上傳資料。處理較費時，請等待一分鐘。
*需進行拆單作業會放在"拆單上傳"中，請於Excel產生後，在該檔案上進行手動拆單。
*完成後請下載繳費單，放置在pdf資料夾中，以利後續email或列印。</t>
    <phoneticPr fontId="2" type="noConversion"/>
  </si>
  <si>
    <t>產生代繳授權清冊與代扣通知書。請注意勿在每月15日繳款期限前至元大櫃台辦理扣款，以免發生住戶餘額不足的問題。需要Email給元大的資料請在新產生的Excel檔處理。</t>
    <phoneticPr fontId="2" type="noConversion"/>
  </si>
  <si>
    <t>產生Word公告未繳名單，同時依照"未銷帳"更新"公告未繳"的期數資料(有前期未繳則加1，本期無未銷帳則刪除)。同時更新欠繳金額(同未銷帳金額)。</t>
    <phoneticPr fontId="2" type="noConversion"/>
  </si>
  <si>
    <t>在第7步驟前，公告未繳還是上個月的資料。這是為了統計未繳期數。</t>
    <phoneticPr fontId="2" type="noConversion"/>
  </si>
  <si>
    <t>同時會清除舊資料。</t>
    <phoneticPr fontId="2" type="noConversion"/>
  </si>
  <si>
    <t>未銷帳檔案，加上代扣失敗戶，應忠實反映上期全部欠款總額。</t>
    <phoneticPr fontId="2" type="noConversion"/>
  </si>
  <si>
    <t>注意年繳與季繳會在不同月份採取不同行動。測試時要注意不要發生誤刪名單。</t>
    <phoneticPr fontId="2" type="noConversion"/>
  </si>
  <si>
    <t>H0208</t>
    <phoneticPr fontId="2" type="noConversion"/>
  </si>
  <si>
    <t>A0209</t>
    <phoneticPr fontId="2" type="noConversion"/>
  </si>
  <si>
    <t>B0114</t>
    <phoneticPr fontId="2" type="noConversion"/>
  </si>
  <si>
    <t>B0507</t>
    <phoneticPr fontId="2" type="noConversion"/>
  </si>
  <si>
    <t>翡翠流域繳費財務報表</t>
    <phoneticPr fontId="2" type="noConversion"/>
  </si>
  <si>
    <t>月繳</t>
    <phoneticPr fontId="2" type="noConversion"/>
  </si>
  <si>
    <t>應繳金額</t>
    <phoneticPr fontId="2" type="noConversion"/>
  </si>
  <si>
    <t>已銷帳</t>
    <phoneticPr fontId="2" type="noConversion"/>
  </si>
  <si>
    <t>欠款</t>
    <phoneticPr fontId="2" type="noConversion"/>
  </si>
  <si>
    <t>代扣</t>
    <phoneticPr fontId="2" type="noConversion"/>
  </si>
  <si>
    <t>A0103</t>
    <phoneticPr fontId="2" type="noConversion"/>
  </si>
  <si>
    <t>A0104</t>
    <phoneticPr fontId="2" type="noConversion"/>
  </si>
  <si>
    <t>A0105</t>
    <phoneticPr fontId="2" type="noConversion"/>
  </si>
  <si>
    <t>A0106</t>
    <phoneticPr fontId="2" type="noConversion"/>
  </si>
  <si>
    <t>A0107</t>
    <phoneticPr fontId="2" type="noConversion"/>
  </si>
  <si>
    <t>A0108</t>
    <phoneticPr fontId="2" type="noConversion"/>
  </si>
  <si>
    <t>A0109</t>
    <phoneticPr fontId="2" type="noConversion"/>
  </si>
  <si>
    <t>A0110</t>
    <phoneticPr fontId="2" type="noConversion"/>
  </si>
  <si>
    <t>A0111</t>
    <phoneticPr fontId="2" type="noConversion"/>
  </si>
  <si>
    <t>A0112</t>
    <phoneticPr fontId="2" type="noConversion"/>
  </si>
  <si>
    <t>A0113</t>
    <phoneticPr fontId="2" type="noConversion"/>
  </si>
  <si>
    <t>A0114</t>
    <phoneticPr fontId="2" type="noConversion"/>
  </si>
  <si>
    <t>A0115</t>
    <phoneticPr fontId="2" type="noConversion"/>
  </si>
  <si>
    <t>A0203</t>
    <phoneticPr fontId="2" type="noConversion"/>
  </si>
  <si>
    <t>A0204</t>
    <phoneticPr fontId="2" type="noConversion"/>
  </si>
  <si>
    <t>A0205</t>
    <phoneticPr fontId="2" type="noConversion"/>
  </si>
  <si>
    <t>A0206</t>
    <phoneticPr fontId="2" type="noConversion"/>
  </si>
  <si>
    <t>A0207</t>
    <phoneticPr fontId="2" type="noConversion"/>
  </si>
  <si>
    <t>A0208</t>
    <phoneticPr fontId="2" type="noConversion"/>
  </si>
  <si>
    <t>A0210</t>
    <phoneticPr fontId="2" type="noConversion"/>
  </si>
  <si>
    <t>A0211</t>
    <phoneticPr fontId="2" type="noConversion"/>
  </si>
  <si>
    <t>A0212</t>
    <phoneticPr fontId="2" type="noConversion"/>
  </si>
  <si>
    <t>A0213</t>
    <phoneticPr fontId="2" type="noConversion"/>
  </si>
  <si>
    <t>A0214</t>
    <phoneticPr fontId="2" type="noConversion"/>
  </si>
  <si>
    <t>A0215</t>
    <phoneticPr fontId="2" type="noConversion"/>
  </si>
  <si>
    <t>A0304</t>
    <phoneticPr fontId="2" type="noConversion"/>
  </si>
  <si>
    <t>A0306</t>
    <phoneticPr fontId="2" type="noConversion"/>
  </si>
  <si>
    <t>A0307</t>
    <phoneticPr fontId="2" type="noConversion"/>
  </si>
  <si>
    <t>A0308</t>
    <phoneticPr fontId="2" type="noConversion"/>
  </si>
  <si>
    <t>A0309</t>
    <phoneticPr fontId="2" type="noConversion"/>
  </si>
  <si>
    <t>A0310</t>
    <phoneticPr fontId="2" type="noConversion"/>
  </si>
  <si>
    <t>A0311</t>
    <phoneticPr fontId="2" type="noConversion"/>
  </si>
  <si>
    <t>A0312</t>
    <phoneticPr fontId="2" type="noConversion"/>
  </si>
  <si>
    <t>A0313</t>
    <phoneticPr fontId="2" type="noConversion"/>
  </si>
  <si>
    <t>A0314</t>
    <phoneticPr fontId="2" type="noConversion"/>
  </si>
  <si>
    <t>A0315</t>
    <phoneticPr fontId="2" type="noConversion"/>
  </si>
  <si>
    <t>A0504</t>
    <phoneticPr fontId="2" type="noConversion"/>
  </si>
  <si>
    <t>A0505</t>
    <phoneticPr fontId="2" type="noConversion"/>
  </si>
  <si>
    <t>A0506</t>
    <phoneticPr fontId="2" type="noConversion"/>
  </si>
  <si>
    <t>A0507</t>
    <phoneticPr fontId="2" type="noConversion"/>
  </si>
  <si>
    <t>A0508</t>
    <phoneticPr fontId="2" type="noConversion"/>
  </si>
  <si>
    <t>A0509</t>
    <phoneticPr fontId="2" type="noConversion"/>
  </si>
  <si>
    <t>A0510</t>
    <phoneticPr fontId="2" type="noConversion"/>
  </si>
  <si>
    <t>A0511</t>
    <phoneticPr fontId="2" type="noConversion"/>
  </si>
  <si>
    <t>A0512</t>
    <phoneticPr fontId="2" type="noConversion"/>
  </si>
  <si>
    <t>A0514</t>
    <phoneticPr fontId="2" type="noConversion"/>
  </si>
  <si>
    <t>A0515</t>
    <phoneticPr fontId="2" type="noConversion"/>
  </si>
  <si>
    <t>B0103</t>
    <phoneticPr fontId="2" type="noConversion"/>
  </si>
  <si>
    <t>B0104</t>
    <phoneticPr fontId="2" type="noConversion"/>
  </si>
  <si>
    <t>B0105</t>
    <phoneticPr fontId="2" type="noConversion"/>
  </si>
  <si>
    <t>B0106</t>
    <phoneticPr fontId="2" type="noConversion"/>
  </si>
  <si>
    <t>B0107</t>
    <phoneticPr fontId="2" type="noConversion"/>
  </si>
  <si>
    <t>B0108</t>
    <phoneticPr fontId="2" type="noConversion"/>
  </si>
  <si>
    <t>B0109</t>
    <phoneticPr fontId="2" type="noConversion"/>
  </si>
  <si>
    <t>B0110</t>
    <phoneticPr fontId="2" type="noConversion"/>
  </si>
  <si>
    <t>B0111</t>
    <phoneticPr fontId="2" type="noConversion"/>
  </si>
  <si>
    <t>B0113</t>
    <phoneticPr fontId="2" type="noConversion"/>
  </si>
  <si>
    <t>B0115</t>
    <phoneticPr fontId="2" type="noConversion"/>
  </si>
  <si>
    <t>B0203</t>
    <phoneticPr fontId="2" type="noConversion"/>
  </si>
  <si>
    <t>B0204</t>
    <phoneticPr fontId="2" type="noConversion"/>
  </si>
  <si>
    <t>B0205</t>
    <phoneticPr fontId="2" type="noConversion"/>
  </si>
  <si>
    <t>B0206</t>
    <phoneticPr fontId="2" type="noConversion"/>
  </si>
  <si>
    <t>B0207</t>
    <phoneticPr fontId="2" type="noConversion"/>
  </si>
  <si>
    <t>B0208</t>
    <phoneticPr fontId="2" type="noConversion"/>
  </si>
  <si>
    <t>B0210</t>
    <phoneticPr fontId="2" type="noConversion"/>
  </si>
  <si>
    <t>B0211</t>
    <phoneticPr fontId="2" type="noConversion"/>
  </si>
  <si>
    <t>B0212</t>
    <phoneticPr fontId="2" type="noConversion"/>
  </si>
  <si>
    <t>B0213</t>
    <phoneticPr fontId="2" type="noConversion"/>
  </si>
  <si>
    <t>B0214</t>
    <phoneticPr fontId="2" type="noConversion"/>
  </si>
  <si>
    <t>B0215</t>
    <phoneticPr fontId="2" type="noConversion"/>
  </si>
  <si>
    <t>B0303</t>
    <phoneticPr fontId="2" type="noConversion"/>
  </si>
  <si>
    <t>B0304</t>
    <phoneticPr fontId="2" type="noConversion"/>
  </si>
  <si>
    <t>B0305</t>
    <phoneticPr fontId="2" type="noConversion"/>
  </si>
  <si>
    <t>B0306</t>
    <phoneticPr fontId="2" type="noConversion"/>
  </si>
  <si>
    <t>B0307</t>
    <phoneticPr fontId="2" type="noConversion"/>
  </si>
  <si>
    <t>B0308</t>
    <phoneticPr fontId="2" type="noConversion"/>
  </si>
  <si>
    <t>B0309</t>
    <phoneticPr fontId="2" type="noConversion"/>
  </si>
  <si>
    <t>B0310</t>
    <phoneticPr fontId="2" type="noConversion"/>
  </si>
  <si>
    <t>B0311</t>
    <phoneticPr fontId="2" type="noConversion"/>
  </si>
  <si>
    <t>B0312</t>
    <phoneticPr fontId="2" type="noConversion"/>
  </si>
  <si>
    <t>B0313</t>
    <phoneticPr fontId="2" type="noConversion"/>
  </si>
  <si>
    <t>B0314</t>
    <phoneticPr fontId="2" type="noConversion"/>
  </si>
  <si>
    <t>B0315</t>
    <phoneticPr fontId="2" type="noConversion"/>
  </si>
  <si>
    <t>B0504</t>
    <phoneticPr fontId="2" type="noConversion"/>
  </si>
  <si>
    <t>B0505</t>
    <phoneticPr fontId="2" type="noConversion"/>
  </si>
  <si>
    <t>B0506</t>
    <phoneticPr fontId="2" type="noConversion"/>
  </si>
  <si>
    <t>B0508</t>
    <phoneticPr fontId="2" type="noConversion"/>
  </si>
  <si>
    <t>B0509</t>
    <phoneticPr fontId="2" type="noConversion"/>
  </si>
  <si>
    <t>B0510</t>
    <phoneticPr fontId="2" type="noConversion"/>
  </si>
  <si>
    <t>B0511</t>
    <phoneticPr fontId="2" type="noConversion"/>
  </si>
  <si>
    <t>B0512</t>
    <phoneticPr fontId="2" type="noConversion"/>
  </si>
  <si>
    <t>B0513</t>
    <phoneticPr fontId="2" type="noConversion"/>
  </si>
  <si>
    <t>B0514</t>
    <phoneticPr fontId="2" type="noConversion"/>
  </si>
  <si>
    <t>B0515</t>
    <phoneticPr fontId="2" type="noConversion"/>
  </si>
  <si>
    <t>E0104</t>
    <phoneticPr fontId="2" type="noConversion"/>
  </si>
  <si>
    <t>E0105</t>
    <phoneticPr fontId="2" type="noConversion"/>
  </si>
  <si>
    <t>E0106</t>
    <phoneticPr fontId="2" type="noConversion"/>
  </si>
  <si>
    <t>E0107</t>
    <phoneticPr fontId="2" type="noConversion"/>
  </si>
  <si>
    <t>E0108</t>
    <phoneticPr fontId="2" type="noConversion"/>
  </si>
  <si>
    <t>E0109</t>
    <phoneticPr fontId="2" type="noConversion"/>
  </si>
  <si>
    <t>E0111</t>
    <phoneticPr fontId="2" type="noConversion"/>
  </si>
  <si>
    <t>E0112</t>
    <phoneticPr fontId="2" type="noConversion"/>
  </si>
  <si>
    <t>E0113</t>
    <phoneticPr fontId="2" type="noConversion"/>
  </si>
  <si>
    <t>E0114</t>
    <phoneticPr fontId="2" type="noConversion"/>
  </si>
  <si>
    <t>E0115</t>
    <phoneticPr fontId="2" type="noConversion"/>
  </si>
  <si>
    <t>E0204</t>
    <phoneticPr fontId="2" type="noConversion"/>
  </si>
  <si>
    <t>E0206</t>
    <phoneticPr fontId="2" type="noConversion"/>
  </si>
  <si>
    <t>E0207</t>
    <phoneticPr fontId="2" type="noConversion"/>
  </si>
  <si>
    <t>E0208</t>
    <phoneticPr fontId="2" type="noConversion"/>
  </si>
  <si>
    <t>E0209</t>
    <phoneticPr fontId="2" type="noConversion"/>
  </si>
  <si>
    <t>E0210</t>
    <phoneticPr fontId="2" type="noConversion"/>
  </si>
  <si>
    <t>E0212</t>
    <phoneticPr fontId="2" type="noConversion"/>
  </si>
  <si>
    <t>E0213</t>
    <phoneticPr fontId="2" type="noConversion"/>
  </si>
  <si>
    <t>E0214</t>
    <phoneticPr fontId="2" type="noConversion"/>
  </si>
  <si>
    <t>E0215</t>
    <phoneticPr fontId="2" type="noConversion"/>
  </si>
  <si>
    <t>E0304</t>
    <phoneticPr fontId="2" type="noConversion"/>
  </si>
  <si>
    <t>E0305</t>
    <phoneticPr fontId="2" type="noConversion"/>
  </si>
  <si>
    <t>E0306</t>
    <phoneticPr fontId="2" type="noConversion"/>
  </si>
  <si>
    <t>E0307</t>
    <phoneticPr fontId="2" type="noConversion"/>
  </si>
  <si>
    <t>E0308</t>
    <phoneticPr fontId="2" type="noConversion"/>
  </si>
  <si>
    <t>E0309</t>
    <phoneticPr fontId="2" type="noConversion"/>
  </si>
  <si>
    <t>E0310</t>
    <phoneticPr fontId="2" type="noConversion"/>
  </si>
  <si>
    <t>E0311</t>
    <phoneticPr fontId="2" type="noConversion"/>
  </si>
  <si>
    <t>E0312</t>
    <phoneticPr fontId="2" type="noConversion"/>
  </si>
  <si>
    <t>E0313</t>
    <phoneticPr fontId="2" type="noConversion"/>
  </si>
  <si>
    <t>E0314</t>
    <phoneticPr fontId="2" type="noConversion"/>
  </si>
  <si>
    <t>E0315</t>
    <phoneticPr fontId="2" type="noConversion"/>
  </si>
  <si>
    <t>E0503</t>
    <phoneticPr fontId="2" type="noConversion"/>
  </si>
  <si>
    <t>E0504</t>
    <phoneticPr fontId="2" type="noConversion"/>
  </si>
  <si>
    <t>E0505</t>
    <phoneticPr fontId="2" type="noConversion"/>
  </si>
  <si>
    <t>E0506</t>
    <phoneticPr fontId="2" type="noConversion"/>
  </si>
  <si>
    <t>E0507</t>
    <phoneticPr fontId="2" type="noConversion"/>
  </si>
  <si>
    <t>E0508</t>
    <phoneticPr fontId="2" type="noConversion"/>
  </si>
  <si>
    <t>E0509</t>
    <phoneticPr fontId="2" type="noConversion"/>
  </si>
  <si>
    <t>E0510</t>
    <phoneticPr fontId="2" type="noConversion"/>
  </si>
  <si>
    <t>E0511</t>
    <phoneticPr fontId="2" type="noConversion"/>
  </si>
  <si>
    <t>E0512</t>
    <phoneticPr fontId="2" type="noConversion"/>
  </si>
  <si>
    <t>E0513</t>
    <phoneticPr fontId="2" type="noConversion"/>
  </si>
  <si>
    <t>E0515</t>
    <phoneticPr fontId="2" type="noConversion"/>
  </si>
  <si>
    <t>E0605</t>
    <phoneticPr fontId="2" type="noConversion"/>
  </si>
  <si>
    <t>E0606</t>
    <phoneticPr fontId="2" type="noConversion"/>
  </si>
  <si>
    <t>E0607</t>
    <phoneticPr fontId="2" type="noConversion"/>
  </si>
  <si>
    <t>E0608</t>
    <phoneticPr fontId="2" type="noConversion"/>
  </si>
  <si>
    <t>E0609</t>
    <phoneticPr fontId="2" type="noConversion"/>
  </si>
  <si>
    <t>E0610</t>
    <phoneticPr fontId="2" type="noConversion"/>
  </si>
  <si>
    <t>E0611</t>
    <phoneticPr fontId="2" type="noConversion"/>
  </si>
  <si>
    <t>E0612</t>
    <phoneticPr fontId="2" type="noConversion"/>
  </si>
  <si>
    <t>E0613</t>
    <phoneticPr fontId="2" type="noConversion"/>
  </si>
  <si>
    <t>E0614</t>
    <phoneticPr fontId="2" type="noConversion"/>
  </si>
  <si>
    <t>E0615</t>
    <phoneticPr fontId="2" type="noConversion"/>
  </si>
  <si>
    <t>E0703</t>
    <phoneticPr fontId="2" type="noConversion"/>
  </si>
  <si>
    <t>E0704</t>
    <phoneticPr fontId="2" type="noConversion"/>
  </si>
  <si>
    <t>E0705</t>
    <phoneticPr fontId="2" type="noConversion"/>
  </si>
  <si>
    <t>E0706</t>
    <phoneticPr fontId="2" type="noConversion"/>
  </si>
  <si>
    <t>E0707</t>
    <phoneticPr fontId="2" type="noConversion"/>
  </si>
  <si>
    <t>E0708</t>
    <phoneticPr fontId="2" type="noConversion"/>
  </si>
  <si>
    <t>E0709</t>
    <phoneticPr fontId="2" type="noConversion"/>
  </si>
  <si>
    <t>E0710</t>
    <phoneticPr fontId="2" type="noConversion"/>
  </si>
  <si>
    <t>E0712</t>
    <phoneticPr fontId="2" type="noConversion"/>
  </si>
  <si>
    <t>E0713</t>
    <phoneticPr fontId="2" type="noConversion"/>
  </si>
  <si>
    <t>E0714</t>
    <phoneticPr fontId="2" type="noConversion"/>
  </si>
  <si>
    <t>E0715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</si>
  <si>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</si>
  <si>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</si>
  <si>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</si>
  <si>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</si>
  <si>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</si>
  <si>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F0110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</si>
  <si>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</si>
  <si>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</si>
  <si>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</si>
  <si>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</si>
  <si>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F0205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</si>
  <si>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</si>
  <si>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</si>
  <si>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</si>
  <si>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F0209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</si>
  <si>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</si>
  <si>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</si>
  <si>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</si>
  <si>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</si>
  <si>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</si>
  <si>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</si>
  <si>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</si>
  <si>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</si>
  <si>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F0309</t>
    <phoneticPr fontId="2" type="noConversion"/>
  </si>
  <si>
    <t>F0310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</si>
  <si>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</si>
  <si>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</si>
  <si>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</si>
  <si>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</si>
  <si>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</si>
  <si>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F0504</t>
    <phoneticPr fontId="2" type="noConversion"/>
  </si>
  <si>
    <t>F0505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</si>
  <si>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</si>
  <si>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</si>
  <si>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</si>
  <si>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F0510</t>
    <phoneticPr fontId="2" type="noConversion"/>
  </si>
  <si>
    <t>F0511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</si>
  <si>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</si>
  <si>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</si>
  <si>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</si>
  <si>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</si>
  <si>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H0104</t>
    <phoneticPr fontId="2" type="noConversion"/>
  </si>
  <si>
    <t>H0105</t>
    <phoneticPr fontId="2" type="noConversion"/>
  </si>
  <si>
    <t>H0106</t>
    <phoneticPr fontId="2" type="noConversion"/>
  </si>
  <si>
    <t>H0107</t>
    <phoneticPr fontId="2" type="noConversion"/>
  </si>
  <si>
    <t>H0108</t>
    <phoneticPr fontId="2" type="noConversion"/>
  </si>
  <si>
    <t>H0109</t>
    <phoneticPr fontId="2" type="noConversion"/>
  </si>
  <si>
    <t>H0110</t>
    <phoneticPr fontId="2" type="noConversion"/>
  </si>
  <si>
    <t>H0112</t>
    <phoneticPr fontId="2" type="noConversion"/>
  </si>
  <si>
    <t>H0113</t>
    <phoneticPr fontId="2" type="noConversion"/>
  </si>
  <si>
    <t>H0114</t>
    <phoneticPr fontId="2" type="noConversion"/>
  </si>
  <si>
    <t>H0115</t>
    <phoneticPr fontId="2" type="noConversion"/>
  </si>
  <si>
    <t>H0204</t>
    <phoneticPr fontId="2" type="noConversion"/>
  </si>
  <si>
    <t>H0206</t>
    <phoneticPr fontId="2" type="noConversion"/>
  </si>
  <si>
    <t>H0207</t>
    <phoneticPr fontId="2" type="noConversion"/>
  </si>
  <si>
    <t>H0209</t>
    <phoneticPr fontId="2" type="noConversion"/>
  </si>
  <si>
    <t>H0210</t>
    <phoneticPr fontId="2" type="noConversion"/>
  </si>
  <si>
    <t>H0211</t>
    <phoneticPr fontId="2" type="noConversion"/>
  </si>
  <si>
    <t>H0212</t>
    <phoneticPr fontId="2" type="noConversion"/>
  </si>
  <si>
    <t>H0214</t>
    <phoneticPr fontId="2" type="noConversion"/>
  </si>
  <si>
    <t>H0215</t>
    <phoneticPr fontId="2" type="noConversion"/>
  </si>
  <si>
    <t>H0304</t>
    <phoneticPr fontId="2" type="noConversion"/>
  </si>
  <si>
    <t>H0305</t>
    <phoneticPr fontId="2" type="noConversion"/>
  </si>
  <si>
    <t>H0306</t>
    <phoneticPr fontId="2" type="noConversion"/>
  </si>
  <si>
    <t>H0307</t>
    <phoneticPr fontId="2" type="noConversion"/>
  </si>
  <si>
    <t>H0308</t>
    <phoneticPr fontId="2" type="noConversion"/>
  </si>
  <si>
    <t>H0309</t>
    <phoneticPr fontId="2" type="noConversion"/>
  </si>
  <si>
    <t>H0310</t>
    <phoneticPr fontId="2" type="noConversion"/>
  </si>
  <si>
    <t>H0311</t>
    <phoneticPr fontId="2" type="noConversion"/>
  </si>
  <si>
    <t>H0312</t>
    <phoneticPr fontId="2" type="noConversion"/>
  </si>
  <si>
    <t>H0314</t>
    <phoneticPr fontId="2" type="noConversion"/>
  </si>
  <si>
    <t>H0315</t>
    <phoneticPr fontId="2" type="noConversion"/>
  </si>
  <si>
    <t>H0504</t>
    <phoneticPr fontId="2" type="noConversion"/>
  </si>
  <si>
    <t>H0505</t>
    <phoneticPr fontId="2" type="noConversion"/>
  </si>
  <si>
    <t>H0506</t>
    <phoneticPr fontId="2" type="noConversion"/>
  </si>
  <si>
    <t>H0507</t>
    <phoneticPr fontId="2" type="noConversion"/>
  </si>
  <si>
    <t>H0508</t>
    <phoneticPr fontId="2" type="noConversion"/>
  </si>
  <si>
    <t>H0509</t>
    <phoneticPr fontId="2" type="noConversion"/>
  </si>
  <si>
    <t>H0510</t>
    <phoneticPr fontId="2" type="noConversion"/>
  </si>
  <si>
    <t>H0511</t>
    <phoneticPr fontId="2" type="noConversion"/>
  </si>
  <si>
    <t>H0512</t>
    <phoneticPr fontId="2" type="noConversion"/>
  </si>
  <si>
    <t>H0513</t>
    <phoneticPr fontId="2" type="noConversion"/>
  </si>
  <si>
    <t>H0514</t>
    <phoneticPr fontId="2" type="noConversion"/>
  </si>
  <si>
    <t>H0515</t>
    <phoneticPr fontId="2" type="noConversion"/>
  </si>
  <si>
    <t>✓</t>
  </si>
  <si>
    <t>戶數總計</t>
    <phoneticPr fontId="2" type="noConversion"/>
  </si>
  <si>
    <t>B0107因季繳未繳，改為月繳戶並加計欠款一期202605</t>
  </si>
  <si>
    <t>B0114因季繳未繳，改為月繳戶並加計欠款一期202605</t>
  </si>
  <si>
    <t>B0507因季繳未繳，改為月繳戶並加計欠款一期202605</t>
  </si>
  <si>
    <t>E0106因季繳未繳，改為月繳戶並加計欠款一期202605</t>
  </si>
  <si>
    <t>E0611因季繳未繳，改為月繳戶並加計欠款一期202605</t>
  </si>
  <si>
    <t>E0715因季繳未繳，改為月繳戶並加計欠款一期202605</t>
  </si>
  <si>
    <t>H0104因季繳未繳，改為月繳戶並加計欠款一期202605</t>
  </si>
  <si>
    <t>H0107因季繳未繳，改為月繳戶並加計欠款一期202605</t>
  </si>
  <si>
    <t>H0115因季繳未繳，改為月繳戶並加計欠款一期202605</t>
  </si>
  <si>
    <t>H0215因季繳未繳，改為月繳戶並加計欠款一期202605</t>
  </si>
  <si>
    <t>住戶1</t>
  </si>
  <si>
    <t>住戶2</t>
  </si>
  <si>
    <t>住戶3</t>
  </si>
  <si>
    <t>住戶4</t>
  </si>
  <si>
    <t>住戶5</t>
  </si>
  <si>
    <t>住戶6</t>
  </si>
  <si>
    <t>住戶7</t>
  </si>
  <si>
    <t>住戶8</t>
  </si>
  <si>
    <t>住戶9</t>
  </si>
  <si>
    <t>住戶10</t>
  </si>
  <si>
    <t>住戶11</t>
  </si>
  <si>
    <t>住戶12</t>
  </si>
  <si>
    <t>住戶13</t>
  </si>
  <si>
    <t>住戶14</t>
  </si>
  <si>
    <t>住戶15</t>
  </si>
  <si>
    <t>住戶16</t>
  </si>
  <si>
    <t>住戶17</t>
  </si>
  <si>
    <t>住戶18</t>
  </si>
  <si>
    <t>住戶19</t>
  </si>
  <si>
    <t>住戶20</t>
  </si>
  <si>
    <t>住戶21</t>
  </si>
  <si>
    <t>住戶22</t>
  </si>
  <si>
    <t>住戶23</t>
  </si>
  <si>
    <t>住戶24</t>
  </si>
  <si>
    <t>住戶25</t>
  </si>
  <si>
    <t>住戶26</t>
  </si>
  <si>
    <t>住戶27</t>
  </si>
  <si>
    <t>住戶28</t>
  </si>
  <si>
    <t>住戶29</t>
  </si>
  <si>
    <t>住戶30</t>
  </si>
  <si>
    <t>住戶31</t>
  </si>
  <si>
    <t>住戶32</t>
  </si>
  <si>
    <t>住戶33</t>
  </si>
  <si>
    <t>住戶34</t>
  </si>
  <si>
    <t>住戶35</t>
  </si>
  <si>
    <t>住戶36</t>
  </si>
  <si>
    <t>住戶37</t>
  </si>
  <si>
    <t>住戶38</t>
  </si>
  <si>
    <t>住戶39</t>
  </si>
  <si>
    <t>住戶40</t>
  </si>
  <si>
    <t>住戶41</t>
  </si>
  <si>
    <t>住戶42</t>
  </si>
  <si>
    <t>住戶43</t>
  </si>
  <si>
    <t>住戶44</t>
  </si>
  <si>
    <t>住戶45</t>
  </si>
  <si>
    <t>住戶46</t>
  </si>
  <si>
    <t>住戶47</t>
  </si>
  <si>
    <t>住戶48</t>
  </si>
  <si>
    <t>住戶49</t>
  </si>
  <si>
    <t>住戶50</t>
  </si>
  <si>
    <t>住戶51</t>
  </si>
  <si>
    <t>住戶52</t>
  </si>
  <si>
    <t>住戶53</t>
  </si>
  <si>
    <t>住戶54</t>
  </si>
  <si>
    <t>住戶55</t>
  </si>
  <si>
    <t>住戶56</t>
  </si>
  <si>
    <t>住戶57</t>
  </si>
  <si>
    <t>住戶58</t>
  </si>
  <si>
    <t>住戶59</t>
  </si>
  <si>
    <t>住戶60</t>
  </si>
  <si>
    <t>住戶61</t>
  </si>
  <si>
    <t>住戶62</t>
  </si>
  <si>
    <t>住戶63</t>
  </si>
  <si>
    <t>住戶64</t>
  </si>
  <si>
    <t>住戶65</t>
  </si>
  <si>
    <t>住戶66</t>
  </si>
  <si>
    <t>住戶67</t>
  </si>
  <si>
    <t>住戶68</t>
  </si>
  <si>
    <t>住戶69</t>
  </si>
  <si>
    <t>住戶70</t>
  </si>
  <si>
    <t>住戶71</t>
  </si>
  <si>
    <t>住戶72</t>
  </si>
  <si>
    <t>住戶73</t>
  </si>
  <si>
    <t>住戶74</t>
  </si>
  <si>
    <t>住戶75</t>
  </si>
  <si>
    <t>住戶76</t>
  </si>
  <si>
    <t>住戶77</t>
  </si>
  <si>
    <t>住戶78</t>
  </si>
  <si>
    <t>住戶79</t>
  </si>
  <si>
    <t>住戶80</t>
  </si>
  <si>
    <t>住戶81</t>
  </si>
  <si>
    <t>住戶82</t>
  </si>
  <si>
    <t>住戶83</t>
  </si>
  <si>
    <t>住戶84</t>
  </si>
  <si>
    <t>住戶85</t>
  </si>
  <si>
    <t>住戶86</t>
  </si>
  <si>
    <t>住戶87</t>
  </si>
  <si>
    <t>住戶88</t>
  </si>
  <si>
    <t>住戶89</t>
  </si>
  <si>
    <t>住戶90</t>
  </si>
  <si>
    <t>住戶91</t>
  </si>
  <si>
    <t>住戶92</t>
  </si>
  <si>
    <t>住戶93</t>
  </si>
  <si>
    <t>住戶94</t>
  </si>
  <si>
    <t>住戶95</t>
  </si>
  <si>
    <t>住戶96</t>
  </si>
  <si>
    <t>住戶97</t>
  </si>
  <si>
    <t>住戶98</t>
  </si>
  <si>
    <t>住戶99</t>
  </si>
  <si>
    <t>住戶100</t>
  </si>
  <si>
    <t>住戶101</t>
  </si>
  <si>
    <t>住戶102</t>
  </si>
  <si>
    <t>住戶103</t>
  </si>
  <si>
    <t>住戶104</t>
  </si>
  <si>
    <t>住戶105</t>
  </si>
  <si>
    <t>住戶106</t>
  </si>
  <si>
    <t>住戶107</t>
  </si>
  <si>
    <t>住戶108</t>
  </si>
  <si>
    <t>住戶109</t>
  </si>
  <si>
    <t>住戶110</t>
  </si>
  <si>
    <t>住戶111</t>
  </si>
  <si>
    <t>住戶112</t>
  </si>
  <si>
    <t>住戶113</t>
  </si>
  <si>
    <t>住戶114</t>
  </si>
  <si>
    <t>住戶115</t>
  </si>
  <si>
    <t>住戶116</t>
  </si>
  <si>
    <t>住戶117</t>
  </si>
  <si>
    <t>住戶118</t>
  </si>
  <si>
    <t>住戶119</t>
  </si>
  <si>
    <t>住戶120</t>
  </si>
  <si>
    <t>住戶121</t>
  </si>
  <si>
    <t>住戶122</t>
  </si>
  <si>
    <t>住戶123</t>
  </si>
  <si>
    <t>住戶124</t>
  </si>
  <si>
    <t>住戶125</t>
  </si>
  <si>
    <t>住戶126</t>
  </si>
  <si>
    <t>住戶127</t>
  </si>
  <si>
    <t>住戶128</t>
  </si>
  <si>
    <t>住戶129</t>
  </si>
  <si>
    <t>住戶130</t>
  </si>
  <si>
    <t>住戶131</t>
  </si>
  <si>
    <t>住戶132</t>
  </si>
  <si>
    <t>住戶133</t>
  </si>
  <si>
    <t>住戶134</t>
  </si>
  <si>
    <t>住戶135</t>
  </si>
  <si>
    <t>住戶136</t>
  </si>
  <si>
    <t>住戶137</t>
  </si>
  <si>
    <t>住戶138</t>
  </si>
  <si>
    <t>住戶139</t>
  </si>
  <si>
    <t>住戶140</t>
  </si>
  <si>
    <t>住戶141</t>
  </si>
  <si>
    <t>住戶142</t>
  </si>
  <si>
    <t>住戶143</t>
  </si>
  <si>
    <t>住戶144</t>
  </si>
  <si>
    <t>住戶145</t>
  </si>
  <si>
    <t>住戶146</t>
  </si>
  <si>
    <t>住戶147</t>
  </si>
  <si>
    <t>住戶148</t>
  </si>
  <si>
    <t>住戶149</t>
  </si>
  <si>
    <t>住戶150</t>
  </si>
  <si>
    <t>住戶151</t>
  </si>
  <si>
    <t>住戶152</t>
  </si>
  <si>
    <t>住戶153</t>
  </si>
  <si>
    <t>住戶154</t>
  </si>
  <si>
    <t>住戶155</t>
  </si>
  <si>
    <t>住戶156</t>
  </si>
  <si>
    <t>住戶157</t>
  </si>
  <si>
    <t>住戶158</t>
  </si>
  <si>
    <t>住戶159</t>
  </si>
  <si>
    <t>住戶160</t>
  </si>
  <si>
    <t>住戶161</t>
  </si>
  <si>
    <t>住戶162</t>
  </si>
  <si>
    <t>住戶163</t>
  </si>
  <si>
    <t>住戶164</t>
  </si>
  <si>
    <t>住戶165</t>
  </si>
  <si>
    <t>住戶166</t>
  </si>
  <si>
    <t>住戶167</t>
  </si>
  <si>
    <t>住戶168</t>
  </si>
  <si>
    <t>住戶169</t>
  </si>
  <si>
    <t>住戶170</t>
  </si>
  <si>
    <t>住戶171</t>
  </si>
  <si>
    <t>住戶172</t>
  </si>
  <si>
    <t>住戶173</t>
  </si>
  <si>
    <t>住戶174</t>
  </si>
  <si>
    <t>住戶175</t>
  </si>
  <si>
    <t>住戶176</t>
  </si>
  <si>
    <t>住戶177</t>
  </si>
  <si>
    <t>住戶178</t>
  </si>
  <si>
    <t>住戶179</t>
  </si>
  <si>
    <t>住戶180</t>
  </si>
  <si>
    <t>住戶181</t>
  </si>
  <si>
    <t>住戶182</t>
  </si>
  <si>
    <t>住戶183</t>
  </si>
  <si>
    <t>住戶184</t>
  </si>
  <si>
    <t>住戶185</t>
  </si>
  <si>
    <t>住戶186</t>
  </si>
  <si>
    <t>住戶187</t>
  </si>
  <si>
    <t>住戶188</t>
  </si>
  <si>
    <t>住戶189</t>
  </si>
  <si>
    <t>住戶190</t>
  </si>
  <si>
    <t>住戶191</t>
  </si>
  <si>
    <t>住戶192</t>
  </si>
  <si>
    <t>住戶193</t>
  </si>
  <si>
    <t>住戶194</t>
  </si>
  <si>
    <t>住戶195</t>
  </si>
  <si>
    <t>住戶196</t>
  </si>
  <si>
    <t>住戶197</t>
  </si>
  <si>
    <t>住戶198</t>
  </si>
  <si>
    <t>住戶199</t>
  </si>
  <si>
    <t>住戶200</t>
  </si>
  <si>
    <t>住戶201</t>
  </si>
  <si>
    <t>住戶202</t>
  </si>
  <si>
    <t>住戶203</t>
  </si>
  <si>
    <t>住戶204</t>
  </si>
  <si>
    <t>住戶205</t>
  </si>
  <si>
    <t>住戶206</t>
  </si>
  <si>
    <t>住戶207</t>
  </si>
  <si>
    <t>住戶208</t>
  </si>
  <si>
    <t>住戶209</t>
  </si>
  <si>
    <t>住戶210</t>
  </si>
  <si>
    <t>住戶211</t>
  </si>
  <si>
    <t>住戶212</t>
  </si>
  <si>
    <t>住戶213</t>
  </si>
  <si>
    <t>住戶214</t>
  </si>
  <si>
    <t>住戶215</t>
  </si>
  <si>
    <t>住戶216</t>
  </si>
  <si>
    <t>住戶217</t>
  </si>
  <si>
    <t>住戶218</t>
  </si>
  <si>
    <t>住戶219</t>
  </si>
  <si>
    <t>住戶220</t>
  </si>
  <si>
    <t>住戶221</t>
  </si>
  <si>
    <t>住戶222</t>
  </si>
  <si>
    <t>住戶223</t>
  </si>
  <si>
    <t>住戶224</t>
  </si>
  <si>
    <t>住戶225</t>
  </si>
  <si>
    <t>住戶226</t>
  </si>
  <si>
    <t>住戶227</t>
  </si>
  <si>
    <t>住戶228</t>
  </si>
  <si>
    <t>住戶229</t>
  </si>
  <si>
    <t>住戶230</t>
  </si>
  <si>
    <t>住戶231</t>
  </si>
  <si>
    <t>住戶232</t>
  </si>
  <si>
    <t>住戶233</t>
  </si>
  <si>
    <t>住戶234</t>
  </si>
  <si>
    <t>住戶235</t>
  </si>
  <si>
    <t>住戶236</t>
  </si>
  <si>
    <t>住戶237</t>
  </si>
  <si>
    <t>住戶238</t>
  </si>
  <si>
    <t>住戶239</t>
  </si>
  <si>
    <t>住戶240</t>
  </si>
  <si>
    <t>住戶241</t>
  </si>
  <si>
    <t>住戶242</t>
  </si>
  <si>
    <t>住戶243</t>
  </si>
  <si>
    <t>住戶244</t>
  </si>
  <si>
    <t>住戶245</t>
  </si>
  <si>
    <t>住戶246</t>
  </si>
  <si>
    <t>住戶247</t>
  </si>
  <si>
    <t>住戶248</t>
  </si>
  <si>
    <t>住戶249</t>
  </si>
  <si>
    <t>住戶250</t>
  </si>
  <si>
    <t>住戶251</t>
  </si>
  <si>
    <t>住戶252</t>
  </si>
  <si>
    <t>住戶253</t>
  </si>
  <si>
    <t>住戶254</t>
  </si>
  <si>
    <t>住戶255</t>
  </si>
  <si>
    <t>住戶256</t>
  </si>
  <si>
    <t>住戶257</t>
  </si>
  <si>
    <t>住戶258</t>
  </si>
  <si>
    <t>住戶259</t>
  </si>
  <si>
    <t>住戶260</t>
  </si>
  <si>
    <t>住戶261</t>
  </si>
  <si>
    <t>住戶262</t>
  </si>
  <si>
    <t>住戶263</t>
  </si>
  <si>
    <t>住戶264</t>
  </si>
  <si>
    <t>住戶265</t>
  </si>
  <si>
    <t>住戶266</t>
  </si>
  <si>
    <t>住戶267</t>
  </si>
  <si>
    <t>住戶268</t>
  </si>
  <si>
    <t>住戶269</t>
  </si>
  <si>
    <t>住戶270</t>
  </si>
  <si>
    <t>住戶271</t>
  </si>
  <si>
    <t>住戶272</t>
  </si>
  <si>
    <t>住戶273</t>
  </si>
  <si>
    <t>住戶274</t>
  </si>
  <si>
    <t>住戶275</t>
  </si>
  <si>
    <t>住戶276</t>
  </si>
  <si>
    <t>住戶277</t>
  </si>
  <si>
    <t>住戶278</t>
  </si>
  <si>
    <t>住戶279</t>
  </si>
  <si>
    <t>住戶280</t>
  </si>
  <si>
    <t>住戶281</t>
  </si>
  <si>
    <t>住戶282</t>
  </si>
  <si>
    <t>住戶283</t>
  </si>
  <si>
    <t>住戶284</t>
  </si>
  <si>
    <t>住戶285</t>
  </si>
  <si>
    <t>住戶286</t>
  </si>
  <si>
    <t>住戶287</t>
  </si>
  <si>
    <t>住戶288</t>
  </si>
  <si>
    <t>住戶289</t>
  </si>
  <si>
    <t>住戶290</t>
  </si>
  <si>
    <t>住戶291</t>
  </si>
  <si>
    <t>住戶292</t>
  </si>
  <si>
    <t>住戶293</t>
  </si>
  <si>
    <t>住戶294</t>
  </si>
  <si>
    <t>住戶295</t>
  </si>
  <si>
    <t>住戶296</t>
  </si>
  <si>
    <t>住戶297</t>
  </si>
  <si>
    <t>住戶298</t>
  </si>
  <si>
    <t>住戶299</t>
  </si>
  <si>
    <t>住戶300</t>
  </si>
  <si>
    <t>住戶301</t>
  </si>
  <si>
    <t>住戶302</t>
  </si>
  <si>
    <t>住戶303</t>
  </si>
  <si>
    <t>住戶304</t>
  </si>
  <si>
    <t>住戶305</t>
  </si>
  <si>
    <t>住戶306</t>
  </si>
  <si>
    <t>住戶307</t>
  </si>
  <si>
    <t>住戶308</t>
  </si>
  <si>
    <t>住戶309</t>
  </si>
  <si>
    <t>住戶310</t>
  </si>
  <si>
    <t>住戶311</t>
  </si>
  <si>
    <t>住戶312</t>
  </si>
  <si>
    <t>住戶313</t>
  </si>
  <si>
    <t>Y-MC</t>
    <phoneticPr fontId="2" type="noConversion"/>
  </si>
  <si>
    <t>Y-000</t>
  </si>
  <si>
    <t/>
  </si>
  <si>
    <t>00000000000000</t>
    <phoneticPr fontId="2" type="noConversion"/>
  </si>
  <si>
    <t>00000000000001</t>
  </si>
  <si>
    <t>00000000000002</t>
  </si>
  <si>
    <t>00000000000003</t>
  </si>
  <si>
    <t>00000000000004</t>
  </si>
  <si>
    <t>00000000000005</t>
  </si>
  <si>
    <t>00000000000006</t>
  </si>
  <si>
    <t>00000000000007</t>
  </si>
  <si>
    <t>00000000000008</t>
  </si>
  <si>
    <t>00000000000009</t>
  </si>
  <si>
    <t>00000000000010</t>
  </si>
  <si>
    <t>00000000000011</t>
  </si>
  <si>
    <t>00000000000012</t>
  </si>
  <si>
    <t>00000000000013</t>
  </si>
  <si>
    <t>00000000000014</t>
  </si>
  <si>
    <t>00000000000015</t>
  </si>
  <si>
    <t>00000000000016</t>
  </si>
  <si>
    <t>00000000000017</t>
  </si>
  <si>
    <t>00000000000018</t>
  </si>
  <si>
    <t>00000000000019</t>
  </si>
  <si>
    <t>00000000000020</t>
  </si>
  <si>
    <t>00000000000021</t>
  </si>
  <si>
    <t>00000000000022</t>
  </si>
  <si>
    <t>00000000000023</t>
  </si>
  <si>
    <t>00000000000024</t>
  </si>
  <si>
    <t>00000000000025</t>
  </si>
  <si>
    <t>00000000000026</t>
  </si>
  <si>
    <t>00000000000027</t>
  </si>
  <si>
    <t>00000000000028</t>
  </si>
  <si>
    <t>00000000000029</t>
  </si>
  <si>
    <t>00000000000030</t>
  </si>
  <si>
    <t>00000000000031</t>
  </si>
  <si>
    <t>00000000000032</t>
  </si>
  <si>
    <t>00000000000033</t>
  </si>
  <si>
    <t>00000000000034</t>
  </si>
  <si>
    <t>00000000000035</t>
  </si>
  <si>
    <t>00000000000036</t>
  </si>
  <si>
    <t>00000000000037</t>
  </si>
  <si>
    <t>00000000000038</t>
  </si>
  <si>
    <t>00000000000039</t>
  </si>
  <si>
    <t>00000000000040</t>
  </si>
  <si>
    <t>00000000000041</t>
  </si>
  <si>
    <t>00000000000042</t>
  </si>
  <si>
    <t>00000000000043</t>
  </si>
  <si>
    <t>00000000000044</t>
  </si>
  <si>
    <t>00000000000045</t>
  </si>
  <si>
    <t>00000000000046</t>
  </si>
  <si>
    <t>00000000000047</t>
  </si>
  <si>
    <t>00000000000048</t>
  </si>
  <si>
    <t>00000000000049</t>
  </si>
  <si>
    <t>住戶350</t>
    <phoneticPr fontId="2" type="noConversion"/>
  </si>
  <si>
    <t>住戶351</t>
    <phoneticPr fontId="2" type="noConversion"/>
  </si>
  <si>
    <t>住戶352</t>
  </si>
  <si>
    <t>住戶353</t>
  </si>
  <si>
    <t>住戶354</t>
  </si>
  <si>
    <t>住戶355</t>
  </si>
  <si>
    <t>住戶356</t>
  </si>
  <si>
    <t>住戶357</t>
  </si>
  <si>
    <t>住戶358</t>
  </si>
  <si>
    <t>住戶359</t>
  </si>
  <si>
    <t>住戶360</t>
  </si>
  <si>
    <t>住戶361</t>
  </si>
  <si>
    <t>住戶362</t>
  </si>
  <si>
    <t>住戶363</t>
  </si>
  <si>
    <t>住戶364</t>
  </si>
  <si>
    <t>住戶365</t>
  </si>
  <si>
    <t>住戶366</t>
  </si>
  <si>
    <t>住戶367</t>
  </si>
  <si>
    <t>住戶368</t>
  </si>
  <si>
    <t>住戶369</t>
  </si>
  <si>
    <t>住戶370</t>
  </si>
  <si>
    <t>住戶371</t>
  </si>
  <si>
    <t>住戶372</t>
  </si>
  <si>
    <t>住戶373</t>
  </si>
  <si>
    <t>住戶374</t>
  </si>
  <si>
    <t>住戶375</t>
  </si>
  <si>
    <t>住戶376</t>
  </si>
  <si>
    <t>住戶377</t>
  </si>
  <si>
    <t>住戶378</t>
  </si>
  <si>
    <t>住戶379</t>
  </si>
  <si>
    <t>住戶380</t>
  </si>
  <si>
    <t>住戶381</t>
  </si>
  <si>
    <t>住戶382</t>
  </si>
  <si>
    <t>住戶383</t>
  </si>
  <si>
    <t>住戶384</t>
  </si>
  <si>
    <t>住戶385</t>
  </si>
  <si>
    <t>住戶386</t>
  </si>
  <si>
    <t>住戶387</t>
  </si>
  <si>
    <t>住戶388</t>
  </si>
  <si>
    <t>住戶389</t>
  </si>
  <si>
    <t>住戶390</t>
  </si>
  <si>
    <t>住戶391</t>
  </si>
  <si>
    <t>住戶392</t>
  </si>
  <si>
    <t>住戶393</t>
  </si>
  <si>
    <t>住戶394</t>
  </si>
  <si>
    <t>住戶395</t>
  </si>
  <si>
    <t>住戶396</t>
  </si>
  <si>
    <t>住戶397</t>
  </si>
  <si>
    <t>住戶398</t>
  </si>
  <si>
    <t>住戶399</t>
  </si>
  <si>
    <t>翡翠流域管理費。</t>
  </si>
  <si>
    <t>翡翠流域2026年6月管理費。</t>
  </si>
  <si>
    <t>社區提供電子郵件收取繳費通知，請上 https://forms.gle/pDPZ5MfdHfVgCVJa8 登記，或至櫃台登記。</t>
  </si>
  <si>
    <t>貴戶電子郵件 vincent.liu.tw@gmail.com。如有錯誤請至櫃台更正。</t>
  </si>
  <si>
    <t>高雄市左營區813009桃子園路101號6樓</t>
  </si>
  <si>
    <t>0000</t>
  </si>
  <si>
    <t>C:\Users\wkliu\Documents\第五屆管委會\管理費收繳\git-vba\pdf</t>
  </si>
  <si>
    <t>高雄市左營區813009桃子園路101號7樓</t>
  </si>
  <si>
    <t>0001</t>
  </si>
  <si>
    <t>高雄市左營區813009桃子園路101號13樓</t>
  </si>
  <si>
    <t>0002</t>
  </si>
  <si>
    <t>高雄市左營區813009桃子園路99號4樓</t>
  </si>
  <si>
    <t>0003</t>
  </si>
  <si>
    <t>高雄市左營區813009桃子園路99號5樓</t>
  </si>
  <si>
    <t>0004</t>
  </si>
  <si>
    <t>高雄市左營區813009桃子園路99號8樓</t>
  </si>
  <si>
    <t>0005</t>
  </si>
  <si>
    <t>高雄市左營區813009桃子園路99號9樓</t>
  </si>
  <si>
    <t>0006</t>
  </si>
  <si>
    <t>高雄市左營區813009桃子園路99號10樓</t>
  </si>
  <si>
    <t>0007</t>
  </si>
  <si>
    <t>高雄市左營區813009桃子園路99號13樓</t>
  </si>
  <si>
    <t>0008</t>
  </si>
  <si>
    <t>高雄市左營區813009桃子園路97號2樓</t>
  </si>
  <si>
    <t>0009</t>
  </si>
  <si>
    <t>高雄市左營區813009桃子園路97號7樓</t>
  </si>
  <si>
    <t>0010</t>
  </si>
  <si>
    <t>高雄市左營區813009桃子園路97號9樓</t>
  </si>
  <si>
    <t>0011</t>
  </si>
  <si>
    <t>高雄市左營區813009桃子園路103號10樓</t>
  </si>
  <si>
    <t>0012</t>
  </si>
  <si>
    <t>高雄市左營區813009桃子園路103號11樓</t>
  </si>
  <si>
    <t>0013</t>
  </si>
  <si>
    <t>高雄市左營區813009桃子園路103號14樓</t>
  </si>
  <si>
    <t>0014</t>
  </si>
  <si>
    <t>高雄市左營區813009桃子園路93號4樓</t>
  </si>
  <si>
    <t>0015</t>
  </si>
  <si>
    <t>高雄市左營區813009桃子園路93號6樓</t>
  </si>
  <si>
    <t>0016</t>
  </si>
  <si>
    <t>高雄市左營區813009桃子園路93號11樓</t>
  </si>
  <si>
    <t>0017</t>
  </si>
  <si>
    <t>高雄市左營區813009桃子園路93號14樓</t>
  </si>
  <si>
    <t>0018</t>
  </si>
  <si>
    <t>高雄市左營區813009桃子園路91號9樓</t>
  </si>
  <si>
    <t>0019</t>
  </si>
  <si>
    <t>高雄市左營區813009桃子園路91號11樓</t>
  </si>
  <si>
    <t>0020</t>
  </si>
  <si>
    <t>高雄市左營區813009桃子園路91號14樓</t>
  </si>
  <si>
    <t>0021</t>
  </si>
  <si>
    <t>高雄市左營區813009桃子園路89號2樓</t>
  </si>
  <si>
    <t>0022</t>
  </si>
  <si>
    <t>高雄市左營區813009桃子園路89號7樓</t>
  </si>
  <si>
    <t>0023</t>
  </si>
  <si>
    <t>高雄市左營區813009桃子園路95號4樓</t>
  </si>
  <si>
    <t>0024</t>
  </si>
  <si>
    <t>高雄市左營區813009桃子園路95號7樓</t>
  </si>
  <si>
    <t>0025</t>
  </si>
  <si>
    <t>高雄市左營區813009桃子園路95號13樓</t>
  </si>
  <si>
    <t>0026</t>
  </si>
  <si>
    <t>高雄市左營區813009桃子園路77號9樓</t>
  </si>
  <si>
    <t>0027</t>
  </si>
  <si>
    <t>高雄市左營區813009桃子園路77號11樓</t>
  </si>
  <si>
    <t>0028</t>
  </si>
  <si>
    <t>高雄市左營區813009桃子園路87號7樓</t>
  </si>
  <si>
    <t>0029</t>
  </si>
  <si>
    <t>高雄市左營區813009桃子園路87號14樓</t>
  </si>
  <si>
    <t>0030</t>
  </si>
  <si>
    <t>高雄市左營區813009桃子園路83號10樓</t>
  </si>
  <si>
    <t>0031</t>
  </si>
  <si>
    <t>高雄市左營區813009桃子園路81號13樓</t>
  </si>
  <si>
    <t>0032</t>
  </si>
  <si>
    <t>高雄市左營區813009桃子園路79號2樓</t>
  </si>
  <si>
    <t>0033</t>
  </si>
  <si>
    <t>高雄市左營區813009桃子園路79號3樓</t>
  </si>
  <si>
    <t>0034</t>
  </si>
  <si>
    <t>高雄市左營區813009桃子園路79號9樓</t>
  </si>
  <si>
    <t>0035</t>
  </si>
  <si>
    <t>高雄市左營區813009桃子園路79號10樓</t>
  </si>
  <si>
    <t>0036</t>
  </si>
  <si>
    <t>高雄市左營區813009桃子園路69號7樓</t>
  </si>
  <si>
    <t>0037</t>
  </si>
  <si>
    <t>高雄市左營區813009桃子園路75號12樓</t>
  </si>
  <si>
    <t>0038</t>
  </si>
  <si>
    <t>高雄市左營區813009桃子園路75號14樓</t>
  </si>
  <si>
    <t>0039</t>
  </si>
  <si>
    <t>高雄市左營區813009桃子園路73號5樓</t>
  </si>
  <si>
    <t>0040</t>
  </si>
  <si>
    <t>高雄市左營區813009桃子園路73號13樓</t>
  </si>
  <si>
    <t>0041</t>
  </si>
  <si>
    <t>高雄市左營區813009桃子園路71號7樓</t>
  </si>
  <si>
    <t>0042</t>
  </si>
  <si>
    <t>高雄市左營區813009桃子園路71號10樓</t>
  </si>
  <si>
    <t>0043</t>
  </si>
  <si>
    <t>高雄市左營區813009桃子園路61號5樓</t>
  </si>
  <si>
    <t>0044</t>
  </si>
  <si>
    <t>高雄市左營區813009桃子園路67號5樓</t>
  </si>
  <si>
    <t>0045</t>
  </si>
  <si>
    <t>高雄市左營區813009桃子園路65號2樓</t>
  </si>
  <si>
    <t>0046</t>
  </si>
  <si>
    <t>高雄市左營區813009桃子園路65號12樓</t>
  </si>
  <si>
    <t>0047</t>
  </si>
  <si>
    <t>高雄市左營區813009桃子園路63號8樓</t>
  </si>
  <si>
    <t>0048</t>
  </si>
  <si>
    <t>高雄市左營區813009桃子園路63號14樓</t>
  </si>
  <si>
    <t>0049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</si>
</sst>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25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1"/>
      <charset val="136"/>
    </font>
    <font>
      <sz val="12"/>
      <color rgb="FFFF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6"/>
      <color rgb="FFFF0000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24"/>
      <color rgb="FF0000FF"/>
      <name val="Wingdings 2"/>
      <family val="1"/>
      <charset val="2"/>
    </font>
    <font>
      <b/>
      <sz val="12"/>
      <color rgb="FF00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14"/>
      <color theme="1"/>
      <name val="新細明體"/>
      <family val="1"/>
      <charset val="136"/>
    </font>
    <font>
      <strike/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0"/>
      <color theme="1"/>
      <name val="Cascadia Code"/>
      <family val="3"/>
    </font>
    <font>
      <u/>
      <sz val="10"/>
      <color theme="10"/>
      <name val="Cascadia Code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rgb="FFF8F9FA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0" fontId="17" fillId="0" borderId="0"/>
    <xf numFmtId="43" fontId="17" fillId="0" borderId="0" applyFont="0" applyFill="0" applyBorder="0" applyAlignment="0" applyProtection="0"/>
    <xf numFmtId="41" fontId="17" fillId="0" borderId="0" applyFont="0" applyFill="0" applyBorder="0" applyAlignment="0" applyProtection="0"/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quotePrefix="1">
      <alignment vertical="center"/>
    </xf>
    <xf numFmtId="14" fontId="0" fillId="0" borderId="0" xfId="0" quotePrefix="1" applyNumberFormat="1">
      <alignment vertical="center"/>
    </xf>
    <xf numFmtId="14" fontId="0" fillId="0" borderId="0" xfId="0" applyNumberFormat="1">
      <alignment vertical="center"/>
    </xf>
    <xf numFmtId="0" fontId="1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0" applyFont="1" applyAlignment="1">
      <alignment horizontal="left" vertical="center"/>
    </xf>
    <xf numFmtId="49" fontId="6" fillId="0" borderId="0" xfId="0" applyNumberFormat="1" applyFont="1">
      <alignment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1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49" fontId="4" fillId="0" borderId="2" xfId="0" applyNumberFormat="1" applyFont="1" applyBorder="1">
      <alignment vertical="center"/>
    </xf>
    <xf numFmtId="49" fontId="21" fillId="0" borderId="0" xfId="0" applyNumberFormat="1" applyFont="1">
      <alignment vertical="center"/>
    </xf>
    <xf numFmtId="0" fontId="21" fillId="0" borderId="0" xfId="0" applyFont="1">
      <alignment vertical="center"/>
    </xf>
    <xf numFmtId="0" fontId="0" fillId="0" borderId="1" xfId="0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0" borderId="1" xfId="0" quotePrefix="1" applyBorder="1">
      <alignment vertical="center"/>
    </xf>
    <xf numFmtId="1" fontId="4" fillId="0" borderId="2" xfId="0" applyNumberFormat="1" applyFont="1" applyBorder="1">
      <alignment vertical="center"/>
    </xf>
    <xf numFmtId="1" fontId="0" fillId="0" borderId="0" xfId="0" applyNumberFormat="1">
      <alignment vertical="center"/>
    </xf>
    <xf numFmtId="0" fontId="22" fillId="0" borderId="0" xfId="2" applyFo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" fontId="0" fillId="0" borderId="4" xfId="0" applyNumberFormat="1" applyBorder="1">
      <alignment vertical="center"/>
    </xf>
    <xf numFmtId="0" fontId="0" fillId="0" borderId="0" xfId="0" applyAlignment="1">
      <alignment vertical="center" textRotation="180"/>
    </xf>
    <xf numFmtId="0" fontId="23" fillId="0" borderId="0" xfId="0" applyFont="1">
      <alignment vertical="center"/>
    </xf>
    <xf numFmtId="0" fontId="23" fillId="0" borderId="5" xfId="0" applyFont="1" applyBorder="1">
      <alignment vertical="center"/>
    </xf>
    <xf numFmtId="14" fontId="23" fillId="0" borderId="0" xfId="0" applyNumberFormat="1" applyFont="1">
      <alignment vertical="center"/>
    </xf>
    <xf numFmtId="0" fontId="23" fillId="0" borderId="0" xfId="0" applyFont="1" applyAlignment="1">
      <alignment vertical="center" wrapText="1"/>
    </xf>
    <xf numFmtId="0" fontId="24" fillId="0" borderId="0" xfId="1" applyFont="1">
      <alignment vertical="center"/>
    </xf>
    <xf numFmtId="49" fontId="11" fillId="0" borderId="0" xfId="0" applyNumberFormat="1" applyFont="1" applyAlignment="1">
      <alignment vertical="center" wrapText="1"/>
    </xf>
    <xf numFmtId="0" fontId="11" fillId="0" borderId="0" xfId="0" applyFont="1" applyAlignment="1">
      <alignment horizontal="right" vertical="center"/>
    </xf>
    <xf numFmtId="49" fontId="11" fillId="0" borderId="0" xfId="0" applyNumberFormat="1" applyFont="1">
      <alignment vertical="center"/>
    </xf>
    <xf numFmtId="1" fontId="11" fillId="0" borderId="0" xfId="0" applyNumberFormat="1" applyFont="1">
      <alignment vertical="center"/>
    </xf>
    <xf numFmtId="49" fontId="11" fillId="0" borderId="6" xfId="0" applyNumberFormat="1" applyFont="1" applyBorder="1">
      <alignment vertical="center"/>
    </xf>
    <xf numFmtId="1" fontId="11" fillId="0" borderId="6" xfId="0" applyNumberFormat="1" applyFont="1" applyBorder="1">
      <alignment vertical="center"/>
    </xf>
    <xf numFmtId="0" fontId="11" fillId="0" borderId="7" xfId="0" applyFont="1" applyBorder="1">
      <alignment vertical="center"/>
    </xf>
    <xf numFmtId="1" fontId="11" fillId="0" borderId="7" xfId="0" applyNumberFormat="1" applyFont="1" applyBorder="1">
      <alignment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49" fontId="11" fillId="0" borderId="4" xfId="0" applyNumberFormat="1" applyFont="1" applyBorder="1">
      <alignment vertical="center"/>
    </xf>
    <xf numFmtId="1" fontId="11" fillId="0" borderId="4" xfId="0" applyNumberFormat="1" applyFont="1" applyBorder="1">
      <alignment vertical="center"/>
    </xf>
    <xf numFmtId="0" fontId="11" fillId="0" borderId="0" xfId="0" applyFont="1" applyAlignment="1">
      <alignment horizontal="right" vertical="center" indent="1"/>
    </xf>
    <xf numFmtId="1" fontId="11" fillId="0" borderId="0" xfId="0" applyNumberFormat="1" applyFont="1" applyAlignment="1">
      <alignment vertical="center" wrapText="1"/>
    </xf>
    <xf numFmtId="49" fontId="11" fillId="0" borderId="3" xfId="0" applyNumberFormat="1" applyFont="1" applyBorder="1" applyAlignment="1">
      <alignment vertical="center" wrapText="1"/>
    </xf>
    <xf numFmtId="49" fontId="11" fillId="0" borderId="4" xfId="0" applyNumberFormat="1" applyFont="1" applyBorder="1" applyAlignment="1">
      <alignment vertical="center" wrapText="1"/>
    </xf>
    <xf numFmtId="49" fontId="11" fillId="0" borderId="7" xfId="0" applyNumberFormat="1" applyFont="1" applyBorder="1">
      <alignment vertical="center"/>
    </xf>
    <xf numFmtId="1" fontId="11" fillId="0" borderId="4" xfId="0" applyNumberFormat="1" applyFont="1" applyBorder="1" applyAlignment="1">
      <alignment vertical="center" wrapText="1"/>
    </xf>
    <xf numFmtId="0" fontId="0" fillId="0" borderId="8" xfId="0" applyBorder="1">
      <alignment vertical="center"/>
    </xf>
  </cellXfs>
  <cellStyles count="6">
    <cellStyle name="一般" xfId="0" builtinId="0"/>
    <cellStyle name="一般 2" xfId="2" xr:uid="{C31B671D-34AA-4806-80AA-7D914010A8FA}"/>
    <cellStyle name="一般 2 2" xfId="3" xr:uid="{5E10CBF6-A8BE-4BC5-8550-2981643093A2}"/>
    <cellStyle name="千分位 2" xfId="4" xr:uid="{273B9A2D-D68B-47D4-A53A-B7ACB10CD385}"/>
    <cellStyle name="千分位[0] 2" xfId="5" xr:uid="{48241521-5833-49B7-AE46-DDE6DF41A61D}"/>
    <cellStyle name="超連結" xfId="1" builtinId="8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sz val="10"/>
        <name val="Cascadia Code"/>
        <family val="3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sz val="10"/>
        <name val="Cascadia Code"/>
        <family val="3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numFmt numFmtId="1" formatCode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  <numFmt numFmtId="30" formatCode="@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2</xdr:row>
          <xdr:rowOff>123825</xdr:rowOff>
        </xdr:from>
        <xdr:to>
          <xdr:col>5</xdr:col>
          <xdr:colOff>400050</xdr:colOff>
          <xdr:row>2</xdr:row>
          <xdr:rowOff>447675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我已完成新資料夾開啟檔案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552450</xdr:rowOff>
        </xdr:from>
        <xdr:to>
          <xdr:col>5</xdr:col>
          <xdr:colOff>381000</xdr:colOff>
          <xdr:row>3</xdr:row>
          <xdr:rowOff>914400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匯入未銷帳資料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4</xdr:row>
          <xdr:rowOff>123825</xdr:rowOff>
        </xdr:from>
        <xdr:to>
          <xdr:col>5</xdr:col>
          <xdr:colOff>381000</xdr:colOff>
          <xdr:row>4</xdr:row>
          <xdr:rowOff>466725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檢查季繳年繳資料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142875</xdr:rowOff>
        </xdr:from>
        <xdr:to>
          <xdr:col>5</xdr:col>
          <xdr:colOff>371475</xdr:colOff>
          <xdr:row>5</xdr:row>
          <xdr:rowOff>476250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產生當期繳納資料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6</xdr:row>
          <xdr:rowOff>161925</xdr:rowOff>
        </xdr:from>
        <xdr:to>
          <xdr:col>5</xdr:col>
          <xdr:colOff>361950</xdr:colOff>
          <xdr:row>6</xdr:row>
          <xdr:rowOff>495300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產生上傳資料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7</xdr:row>
          <xdr:rowOff>390525</xdr:rowOff>
        </xdr:from>
        <xdr:to>
          <xdr:col>5</xdr:col>
          <xdr:colOff>352425</xdr:colOff>
          <xdr:row>7</xdr:row>
          <xdr:rowOff>695325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產生代繳授權清冊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8</xdr:row>
          <xdr:rowOff>200025</xdr:rowOff>
        </xdr:from>
        <xdr:to>
          <xdr:col>5</xdr:col>
          <xdr:colOff>381000</xdr:colOff>
          <xdr:row>8</xdr:row>
          <xdr:rowOff>485775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產生公告未繳名單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9</xdr:row>
          <xdr:rowOff>209550</xdr:rowOff>
        </xdr:from>
        <xdr:to>
          <xdr:col>5</xdr:col>
          <xdr:colOff>371475</xdr:colOff>
          <xdr:row>9</xdr:row>
          <xdr:rowOff>476250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寄出Email</a:t>
              </a:r>
            </a:p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寄出Email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0</xdr:row>
          <xdr:rowOff>57150</xdr:rowOff>
        </xdr:from>
        <xdr:to>
          <xdr:col>4</xdr:col>
          <xdr:colOff>438150</xdr:colOff>
          <xdr:row>1</xdr:row>
          <xdr:rowOff>152400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回到起始表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liu\Documents\&#31532;&#20116;&#23622;&#31649;&#22996;&#26371;\&#31649;&#29702;&#36027;&#25910;&#32371;\playground\Macro\Macro.xlam" TargetMode="External"/><Relationship Id="rId1" Type="http://schemas.openxmlformats.org/officeDocument/2006/relationships/externalLinkPath" Target="/Users/wkliu/Documents/&#31532;&#20116;&#23622;&#31649;&#22996;&#26371;/&#31649;&#29702;&#36027;&#25910;&#32371;/playground/Macro/Macr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工作表1"/>
    </sheetNames>
    <definedNames>
      <definedName name="ancmWordDoc"/>
      <definedName name="ConfirmNew"/>
      <definedName name="feeThisMonth"/>
      <definedName name="genAutoDeduct"/>
      <definedName name="genUpload"/>
      <definedName name="importDeficitFile"/>
      <definedName name="qualYearSeason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1B25B4-4356-43FE-9C5D-2C510F2F3A58}" name="季繳戶別" displayName="季繳戶別" ref="A3:A104" totalsRowShown="0" headerRowDxfId="17">
  <autoFilter ref="A3:A104" xr:uid="{7D5C5BF0-6391-4496-95FF-99F456200A90}"/>
  <sortState xmlns:xlrd2="http://schemas.microsoft.com/office/spreadsheetml/2017/richdata2" ref="A4:A104">
    <sortCondition ref="A3:A104"/>
  </sortState>
  <tableColumns count="1">
    <tableColumn id="1" xr3:uid="{9344C564-973D-4531-84B7-DAEC74F984EA}" name="季繳戶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5CD34A-52A1-42EB-A5F5-A3555D72A13C}" name="年繳戶別" displayName="年繳戶別" ref="A3:A99" totalsRowShown="0" headerRowDxfId="16" dataDxfId="15" dataCellStyle="一般 2">
  <autoFilter ref="A3:A99" xr:uid="{7D5C5BF0-6391-4496-95FF-99F456200A90}"/>
  <sortState xmlns:xlrd2="http://schemas.microsoft.com/office/spreadsheetml/2017/richdata2" ref="A4:A99">
    <sortCondition ref="A3:A99"/>
  </sortState>
  <tableColumns count="1">
    <tableColumn id="1" xr3:uid="{386C1F38-396F-417D-A421-5286A183CC68}" name="年繳戶" dataDxfId="14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D569C0-D728-421B-957C-DC29DAA01364}" name="拆單戶" displayName="拆單戶" ref="A3:A6" totalsRowShown="0" headerRowDxfId="13">
  <autoFilter ref="A3:A6" xr:uid="{B7D569C0-D728-421B-957C-DC29DAA01364}"/>
  <tableColumns count="1">
    <tableColumn id="1" xr3:uid="{1BCE8A8A-8299-4441-BECA-57C6D0E48A5D}" name="拆單戶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F96CAA-9AFA-4AE3-9A23-6440A49C0E96}" name="未銷帳戶" displayName="未銷帳戶" ref="A1:J33" totalsRowShown="0" headerRowDxfId="12" headerRowBorderDxfId="11">
  <autoFilter ref="A1:J33" xr:uid="{54F96CAA-9AFA-4AE3-9A23-6440A49C0E96}"/>
  <sortState xmlns:xlrd2="http://schemas.microsoft.com/office/spreadsheetml/2017/richdata2" ref="A2:J33">
    <sortCondition ref="A2:A33"/>
  </sortState>
  <tableColumns count="10">
    <tableColumn id="1" xr3:uid="{AB3AA4E4-5FD1-44E5-92C2-9705324B9AFC}" name="繳款人識別碼"/>
    <tableColumn id="2" xr3:uid="{1B1BE08F-5F8E-4DDB-ABB7-E5F72FD956AC}" name="繳款人姓名"/>
    <tableColumn id="3" xr3:uid="{CAE28B73-5091-425D-8530-11474183E607}" name="虛擬帳號"/>
    <tableColumn id="4" xr3:uid="{67C8BF64-D0E5-4761-B99C-49C5CF431402}" name="第二段條碼"/>
    <tableColumn id="5" xr3:uid="{88B52573-F988-4405-84DA-547E8F0103C9}" name="繳款總額" dataDxfId="10"/>
    <tableColumn id="6" xr3:uid="{9327581D-9E51-4D70-9647-6100F485D3BF}" name="繳費年月"/>
    <tableColumn id="7" xr3:uid="{549C361A-A94B-4E04-BAA6-BF17FA95A690}" name="銷帳狀態"/>
    <tableColumn id="8" xr3:uid="{B6DEDC75-6247-42A9-81E9-398E7CC223AE}" name="繳費日期"/>
    <tableColumn id="9" xr3:uid="{FDB91510-DE34-4A05-80AB-988084643B78}" name="繳費通路"/>
    <tableColumn id="10" xr3:uid="{73E5D6AD-8FC1-4DF2-8196-22021F5B2966}" name="入帳日期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F91FF4-AAD7-40FD-AA51-371421096D9C}" name="行政規費" displayName="行政規費" ref="A3:C5" totalsRowShown="0" headerRowDxfId="9">
  <autoFilter ref="A3:C5" xr:uid="{A9F91FF4-AAD7-40FD-AA51-371421096D9C}"/>
  <tableColumns count="3">
    <tableColumn id="1" xr3:uid="{F675209D-A3A2-4C6C-88D8-689500AA1866}" name="戶別"/>
    <tableColumn id="2" xr3:uid="{86F6C302-1A13-4797-BACB-57A35DF8219F}" name="行政規費"/>
    <tableColumn id="3" xr3:uid="{3C052894-B081-4101-8B83-7675E908D367}" name="違規編號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CD9389-AAA4-4332-90EE-7737F527F0FC}" name="其他費用" displayName="其他費用" ref="A3:C10" totalsRowShown="0" headerRowDxfId="8">
  <autoFilter ref="A3:C10" xr:uid="{43CD9389-AAA4-4332-90EE-7737F527F0FC}"/>
  <tableColumns count="3">
    <tableColumn id="1" xr3:uid="{98854D6D-4810-4D71-96BE-619AEB3AF29B}" name="戶別"/>
    <tableColumn id="2" xr3:uid="{3685F86E-6BAA-4C0B-B24B-8BDDF1E51C52}" name="其他費用"/>
    <tableColumn id="3" xr3:uid="{53EE0D68-598D-4723-9B2E-19D76329D4E5}" name="訊息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F20CC58-A025-415E-9D75-855A191FC9E7}" name="Email" displayName="Email" ref="A3:F4" totalsRowShown="0" headerRowDxfId="7" dataDxfId="6">
  <autoFilter ref="A3:F4" xr:uid="{3E8730F6-57A6-4D4F-A3FB-8B976DE15C0C}"/>
  <tableColumns count="6">
    <tableColumn id="1" xr3:uid="{3D2E5141-34A9-4B59-9D14-01DF93D24F2D}" name="戶別" dataDxfId="5"/>
    <tableColumn id="2" xr3:uid="{4F3F7864-3B07-438C-A70A-9D3121E1A431}" name="主旨" dataDxfId="4">
      <calculatedColumnFormula>Email範本!$B$3 &amp; 基本資料!$B$27 &amp; Email範本!$B$4</calculatedColumnFormula>
    </tableColumn>
    <tableColumn id="3" xr3:uid="{6DA3C3AE-20C0-4518-9533-92D39E43E16C}" name="電子郵件" dataDxfId="3"/>
    <tableColumn id="4" xr3:uid="{3FEBF1E5-798C-4B3B-BFB9-2129662BB5B5}" name="內容文字" dataDxfId="2">
      <calculatedColumnFormula>A4 &amp; Email範本!$B$5 &amp; CHAR(10) &amp; 基本資料!$B$27 &amp; Email範本!$B$6 &amp; CHAR(10) &amp; Email範本!$B$7 &amp; CHAR(10) &amp; Email範本!$B$8</calculatedColumnFormula>
    </tableColumn>
    <tableColumn id="5" xr3:uid="{ABB36BBE-63A6-4824-A19D-FD480AAC8C41}" name="附件" dataDxfId="1">
      <calculatedColumnFormula>LEFT(CELL("filename",$A$1),FIND("[",CELL("filename",$A$1))-1) &amp; "pdf\" &amp; A4 &amp; ".pdf"</calculatedColumnFormula>
    </tableColumn>
    <tableColumn id="6" xr3:uid="{1A425BD7-CD0E-450A-8723-79E429520ED2}" name="C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mailto:vincent.liu.tw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235AC-D1D5-48CB-B0D3-BDA55EE302B9}">
  <sheetPr codeName="工作表5"/>
  <dimension ref="A1:H20"/>
  <sheetViews>
    <sheetView tabSelected="1" zoomScaleNormal="100" workbookViewId="0">
      <selection activeCell="C1" sqref="C1"/>
    </sheetView>
  </sheetViews>
  <sheetFormatPr defaultRowHeight="16.5"/>
  <cols>
    <col min="2" max="2" width="51.875" customWidth="1"/>
    <col min="8" max="8" width="71.375" customWidth="1"/>
  </cols>
  <sheetData>
    <row r="1" spans="1:8" ht="20.25">
      <c r="A1" s="1" t="s">
        <v>756</v>
      </c>
    </row>
    <row r="3" spans="1:8" ht="50.1" customHeight="1">
      <c r="A3">
        <v>1</v>
      </c>
      <c r="B3" s="23" t="s">
        <v>850</v>
      </c>
      <c r="G3" s="22"/>
      <c r="H3" t="s">
        <v>912</v>
      </c>
    </row>
    <row r="4" spans="1:8" ht="120" customHeight="1">
      <c r="A4">
        <v>2</v>
      </c>
      <c r="B4" s="23" t="s">
        <v>847</v>
      </c>
      <c r="G4" s="22"/>
      <c r="H4" t="s">
        <v>913</v>
      </c>
    </row>
    <row r="5" spans="1:8" ht="50.1" customHeight="1">
      <c r="A5">
        <v>3</v>
      </c>
      <c r="B5" s="23" t="s">
        <v>888</v>
      </c>
      <c r="G5" s="22"/>
      <c r="H5" t="s">
        <v>914</v>
      </c>
    </row>
    <row r="6" spans="1:8" ht="50.1" customHeight="1">
      <c r="A6">
        <v>4</v>
      </c>
      <c r="B6" s="23" t="s">
        <v>889</v>
      </c>
      <c r="G6" s="22"/>
      <c r="H6" t="s">
        <v>911</v>
      </c>
    </row>
    <row r="7" spans="1:8" ht="84.75" customHeight="1">
      <c r="A7">
        <v>5</v>
      </c>
      <c r="B7" s="23" t="s">
        <v>908</v>
      </c>
      <c r="G7" s="22"/>
    </row>
    <row r="8" spans="1:8" ht="122.25" customHeight="1">
      <c r="A8">
        <v>6</v>
      </c>
      <c r="B8" s="23" t="s">
        <v>909</v>
      </c>
      <c r="G8" s="22"/>
      <c r="H8" s="23" t="s">
        <v>874</v>
      </c>
    </row>
    <row r="9" spans="1:8" ht="50.1" customHeight="1">
      <c r="A9">
        <v>7</v>
      </c>
      <c r="B9" s="23" t="s">
        <v>910</v>
      </c>
      <c r="G9" s="22"/>
    </row>
    <row r="10" spans="1:8" ht="50.1" customHeight="1">
      <c r="A10">
        <v>8</v>
      </c>
      <c r="B10" s="18" t="s">
        <v>871</v>
      </c>
      <c r="G10" s="22"/>
    </row>
    <row r="11" spans="1:8">
      <c r="B11" s="18"/>
    </row>
    <row r="12" spans="1:8">
      <c r="B12" s="18"/>
    </row>
    <row r="13" spans="1:8">
      <c r="B13" s="18"/>
    </row>
    <row r="14" spans="1:8">
      <c r="B14" s="18"/>
    </row>
    <row r="15" spans="1:8">
      <c r="B15" s="18"/>
    </row>
    <row r="16" spans="1:8">
      <c r="B16" s="18"/>
    </row>
    <row r="17" spans="2:2">
      <c r="B17" s="18"/>
    </row>
    <row r="18" spans="2:2">
      <c r="B18" s="18"/>
    </row>
    <row r="19" spans="2:2">
      <c r="B19" s="18"/>
    </row>
    <row r="20" spans="2:2">
      <c r="B20" s="1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ConfirmNew">
                <anchor moveWithCells="1" sizeWithCells="1">
                  <from>
                    <xdr:col>2</xdr:col>
                    <xdr:colOff>209550</xdr:colOff>
                    <xdr:row>2</xdr:row>
                    <xdr:rowOff>123825</xdr:rowOff>
                  </from>
                  <to>
                    <xdr:col>5</xdr:col>
                    <xdr:colOff>400050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importDeficitFile">
                <anchor moveWithCells="1" sizeWithCells="1">
                  <from>
                    <xdr:col>2</xdr:col>
                    <xdr:colOff>209550</xdr:colOff>
                    <xdr:row>3</xdr:row>
                    <xdr:rowOff>552450</xdr:rowOff>
                  </from>
                  <to>
                    <xdr:col>5</xdr:col>
                    <xdr:colOff>381000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qualYearSeason">
                <anchor moveWithCells="1" sizeWithCells="1">
                  <from>
                    <xdr:col>2</xdr:col>
                    <xdr:colOff>200025</xdr:colOff>
                    <xdr:row>4</xdr:row>
                    <xdr:rowOff>123825</xdr:rowOff>
                  </from>
                  <to>
                    <xdr:col>5</xdr:col>
                    <xdr:colOff>381000</xdr:colOff>
                    <xdr:row>4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feeThisMonth">
                <anchor moveWithCells="1" sizeWithCells="1">
                  <from>
                    <xdr:col>2</xdr:col>
                    <xdr:colOff>171450</xdr:colOff>
                    <xdr:row>5</xdr:row>
                    <xdr:rowOff>142875</xdr:rowOff>
                  </from>
                  <to>
                    <xdr:col>5</xdr:col>
                    <xdr:colOff>371475</xdr:colOff>
                    <xdr:row>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genUpload">
                <anchor moveWithCells="1" siz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5</xdr:col>
                    <xdr:colOff>361950</xdr:colOff>
                    <xdr:row>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genAutoDeduct">
                <anchor moveWithCells="1" sizeWithCells="1">
                  <from>
                    <xdr:col>2</xdr:col>
                    <xdr:colOff>180975</xdr:colOff>
                    <xdr:row>7</xdr:row>
                    <xdr:rowOff>390525</xdr:rowOff>
                  </from>
                  <to>
                    <xdr:col>5</xdr:col>
                    <xdr:colOff>352425</xdr:colOff>
                    <xdr:row>7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ancmWordDoc">
                <anchor moveWithCells="1" sizeWithCells="1">
                  <from>
                    <xdr:col>2</xdr:col>
                    <xdr:colOff>228600</xdr:colOff>
                    <xdr:row>8</xdr:row>
                    <xdr:rowOff>200025</xdr:rowOff>
                  </from>
                  <to>
                    <xdr:col>5</xdr:col>
                    <xdr:colOff>381000</xdr:colOff>
                    <xdr:row>8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sendMail">
                <anchor moveWithCells="1" sizeWithCells="1">
                  <from>
                    <xdr:col>2</xdr:col>
                    <xdr:colOff>238125</xdr:colOff>
                    <xdr:row>9</xdr:row>
                    <xdr:rowOff>209550</xdr:rowOff>
                  </from>
                  <to>
                    <xdr:col>5</xdr:col>
                    <xdr:colOff>371475</xdr:colOff>
                    <xdr:row>9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4CCA-B48F-488B-A47D-B41A6041E72C}">
  <sheetPr codeName="工作表2"/>
  <dimension ref="A1:E31"/>
  <sheetViews>
    <sheetView workbookViewId="0">
      <selection activeCell="B15" sqref="B15"/>
    </sheetView>
  </sheetViews>
  <sheetFormatPr defaultRowHeight="16.5"/>
  <cols>
    <col min="1" max="1" width="15.75" customWidth="1"/>
    <col min="2" max="2" width="11.125" customWidth="1"/>
  </cols>
  <sheetData>
    <row r="1" spans="1:5" ht="20.25">
      <c r="A1" s="1" t="s">
        <v>757</v>
      </c>
      <c r="E1" s="8" t="s">
        <v>333</v>
      </c>
    </row>
    <row r="3" spans="1:5">
      <c r="A3" t="s">
        <v>334</v>
      </c>
      <c r="B3">
        <v>313</v>
      </c>
    </row>
    <row r="4" spans="1:5">
      <c r="A4" t="s">
        <v>335</v>
      </c>
      <c r="B4">
        <v>12477.2</v>
      </c>
    </row>
    <row r="5" spans="1:5">
      <c r="A5" t="s">
        <v>336</v>
      </c>
      <c r="B5">
        <v>305</v>
      </c>
    </row>
    <row r="6" spans="1:5">
      <c r="A6" t="s">
        <v>337</v>
      </c>
      <c r="B6">
        <v>2</v>
      </c>
    </row>
    <row r="7" spans="1:5">
      <c r="A7" t="s">
        <v>338</v>
      </c>
    </row>
    <row r="8" spans="1:5">
      <c r="A8" t="s">
        <v>339</v>
      </c>
      <c r="B8" s="3">
        <v>0.02</v>
      </c>
    </row>
    <row r="9" spans="1:5">
      <c r="A9" t="s">
        <v>340</v>
      </c>
    </row>
    <row r="10" spans="1:5">
      <c r="A10" t="s">
        <v>341</v>
      </c>
      <c r="B10" s="3">
        <v>0.03</v>
      </c>
    </row>
    <row r="11" spans="1:5">
      <c r="A11" t="s">
        <v>342</v>
      </c>
      <c r="B11">
        <v>60</v>
      </c>
    </row>
    <row r="12" spans="1:5">
      <c r="A12" t="s">
        <v>343</v>
      </c>
      <c r="B12">
        <v>300</v>
      </c>
    </row>
    <row r="13" spans="1:5">
      <c r="A13" t="s">
        <v>344</v>
      </c>
      <c r="B13">
        <v>600</v>
      </c>
    </row>
    <row r="14" spans="1:5">
      <c r="A14" t="s">
        <v>345</v>
      </c>
      <c r="B14" s="4" t="s">
        <v>346</v>
      </c>
    </row>
    <row r="15" spans="1:5">
      <c r="A15" t="s">
        <v>347</v>
      </c>
      <c r="B15" s="5">
        <f ca="1">TODAY()</f>
        <v>46144</v>
      </c>
      <c r="C15" s="5"/>
    </row>
    <row r="16" spans="1:5">
      <c r="A16" t="s">
        <v>348</v>
      </c>
      <c r="B16" s="5" t="str">
        <f ca="1">TEXT(EOMONTH($B$15,0)+1, "m")</f>
        <v>6</v>
      </c>
    </row>
    <row r="17" spans="1:2">
      <c r="A17" t="s">
        <v>349</v>
      </c>
      <c r="B17" s="5" t="str">
        <f ca="1">TEXT(EOMONTH($B$15,0)+1, "yyyy")</f>
        <v>2026</v>
      </c>
    </row>
    <row r="18" spans="1:2">
      <c r="B18" s="4"/>
    </row>
    <row r="19" spans="1:2">
      <c r="A19" s="2" t="s">
        <v>350</v>
      </c>
      <c r="B19" s="4"/>
    </row>
    <row r="20" spans="1:2">
      <c r="A20" t="s">
        <v>351</v>
      </c>
    </row>
    <row r="21" spans="1:2">
      <c r="A21" t="s">
        <v>352</v>
      </c>
      <c r="B21" s="4" t="s">
        <v>353</v>
      </c>
    </row>
    <row r="22" spans="1:2">
      <c r="A22" t="s">
        <v>354</v>
      </c>
      <c r="B22" t="str">
        <f ca="1">TEXT(EOMONTH($B$15,0)+15, "yyyymmdd")</f>
        <v>20260615</v>
      </c>
    </row>
    <row r="23" spans="1:2">
      <c r="A23" t="s">
        <v>355</v>
      </c>
      <c r="B23" t="s">
        <v>356</v>
      </c>
    </row>
    <row r="24" spans="1:2">
      <c r="A24" t="s">
        <v>357</v>
      </c>
      <c r="B24" t="s">
        <v>358</v>
      </c>
    </row>
    <row r="25" spans="1:2">
      <c r="A25" t="s">
        <v>359</v>
      </c>
      <c r="B25" t="s">
        <v>360</v>
      </c>
    </row>
    <row r="26" spans="1:2">
      <c r="A26" t="s">
        <v>361</v>
      </c>
      <c r="B26" t="s">
        <v>362</v>
      </c>
    </row>
    <row r="27" spans="1:2">
      <c r="A27" t="s">
        <v>363</v>
      </c>
      <c r="B27" s="6" t="str">
        <f ca="1">TEXT(EOMONTH(B15,0)+1,"yyyymm")</f>
        <v>202606</v>
      </c>
    </row>
    <row r="28" spans="1:2">
      <c r="A28" t="s">
        <v>364</v>
      </c>
      <c r="B28" s="4" t="s">
        <v>365</v>
      </c>
    </row>
    <row r="29" spans="1:2">
      <c r="A29" t="s">
        <v>366</v>
      </c>
      <c r="B29" t="str">
        <f ca="1">TEXT(EOMONTH($B$15,0)+15,"yyyymmdd")</f>
        <v>20260615</v>
      </c>
    </row>
    <row r="30" spans="1:2">
      <c r="A30" t="s">
        <v>367</v>
      </c>
      <c r="B30" t="str">
        <f ca="1">TEXT(EOMONTH($B$15,0)+15,"yyyymmdd")</f>
        <v>20260615</v>
      </c>
    </row>
    <row r="31" spans="1:2">
      <c r="A31" t="s">
        <v>368</v>
      </c>
      <c r="B31" t="s">
        <v>369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98BC-6649-4A31-B9AB-955BC6052BE0}">
  <sheetPr codeName="工作表6"/>
  <dimension ref="A1:D360"/>
  <sheetViews>
    <sheetView workbookViewId="0">
      <selection activeCell="B2" sqref="B2"/>
    </sheetView>
  </sheetViews>
  <sheetFormatPr defaultRowHeight="16.5"/>
  <cols>
    <col min="1" max="1" width="11.75" customWidth="1"/>
    <col min="2" max="2" width="9.125" customWidth="1"/>
  </cols>
  <sheetData>
    <row r="1" spans="1:4" ht="20.25">
      <c r="A1" s="1" t="s">
        <v>0</v>
      </c>
      <c r="D1" t="s">
        <v>1</v>
      </c>
    </row>
    <row r="2" spans="1:4">
      <c r="D2" t="s">
        <v>2</v>
      </c>
    </row>
    <row r="3" spans="1:4">
      <c r="A3" s="2" t="s">
        <v>3</v>
      </c>
      <c r="B3" s="2"/>
      <c r="D3" t="s">
        <v>4</v>
      </c>
    </row>
    <row r="4" spans="1:4">
      <c r="A4" t="s">
        <v>827</v>
      </c>
    </row>
    <row r="5" spans="1:4">
      <c r="A5" t="s">
        <v>30</v>
      </c>
      <c r="D5" s="2" t="s">
        <v>375</v>
      </c>
    </row>
    <row r="6" spans="1:4">
      <c r="A6" t="s">
        <v>31</v>
      </c>
      <c r="D6" s="2" t="s">
        <v>1182</v>
      </c>
    </row>
    <row r="7" spans="1:4">
      <c r="A7" t="s">
        <v>34</v>
      </c>
      <c r="D7" s="2" t="s">
        <v>1181</v>
      </c>
    </row>
    <row r="8" spans="1:4">
      <c r="A8" t="s">
        <v>36</v>
      </c>
      <c r="D8" s="2" t="s">
        <v>1180</v>
      </c>
    </row>
    <row r="9" spans="1:4">
      <c r="A9" t="s">
        <v>38</v>
      </c>
      <c r="D9" s="2" t="s">
        <v>1179</v>
      </c>
    </row>
    <row r="10" spans="1:4">
      <c r="A10" t="s">
        <v>40</v>
      </c>
      <c r="D10" s="2" t="s">
        <v>1178</v>
      </c>
    </row>
    <row r="11" spans="1:4">
      <c r="A11" t="s">
        <v>41</v>
      </c>
      <c r="D11" s="2" t="s">
        <v>1177</v>
      </c>
    </row>
    <row r="12" spans="1:4">
      <c r="A12" t="s">
        <v>787</v>
      </c>
      <c r="D12" s="2" t="s">
        <v>1176</v>
      </c>
    </row>
    <row r="13" spans="1:4">
      <c r="A13" t="s">
        <v>788</v>
      </c>
      <c r="D13" s="2" t="s">
        <v>1175</v>
      </c>
    </row>
    <row r="14" spans="1:4">
      <c r="A14" t="s">
        <v>51</v>
      </c>
      <c r="D14" s="2" t="s">
        <v>1174</v>
      </c>
    </row>
    <row r="15" spans="1:4">
      <c r="A15" t="s">
        <v>52</v>
      </c>
      <c r="D15" s="2" t="s">
        <v>1173</v>
      </c>
    </row>
    <row r="16" spans="1:4">
      <c r="A16" t="s">
        <v>53</v>
      </c>
      <c r="D16" s="2"/>
    </row>
    <row r="17" spans="1:4">
      <c r="A17" t="s">
        <v>54</v>
      </c>
      <c r="D17" s="2"/>
    </row>
    <row r="18" spans="1:4">
      <c r="A18" t="s">
        <v>58</v>
      </c>
      <c r="D18" s="2"/>
    </row>
    <row r="19" spans="1:4">
      <c r="A19" t="s">
        <v>68</v>
      </c>
      <c r="D19" s="2"/>
    </row>
    <row r="20" spans="1:4">
      <c r="A20" t="s">
        <v>69</v>
      </c>
      <c r="D20" s="2"/>
    </row>
    <row r="21" spans="1:4">
      <c r="A21" t="s">
        <v>72</v>
      </c>
      <c r="D21" s="2"/>
    </row>
    <row r="22" spans="1:4">
      <c r="A22" t="s">
        <v>80</v>
      </c>
      <c r="D22" s="2"/>
    </row>
    <row r="23" spans="1:4">
      <c r="A23" t="s">
        <v>90</v>
      </c>
      <c r="D23" s="2"/>
    </row>
    <row r="24" spans="1:4">
      <c r="A24" t="s">
        <v>91</v>
      </c>
      <c r="D24" s="2"/>
    </row>
    <row r="25" spans="1:4">
      <c r="A25" t="s">
        <v>92</v>
      </c>
      <c r="D25" s="2"/>
    </row>
    <row r="26" spans="1:4">
      <c r="A26" t="s">
        <v>95</v>
      </c>
      <c r="D26" s="2"/>
    </row>
    <row r="27" spans="1:4">
      <c r="A27" t="s">
        <v>106</v>
      </c>
      <c r="D27" s="2"/>
    </row>
    <row r="28" spans="1:4">
      <c r="A28" t="s">
        <v>109</v>
      </c>
      <c r="D28" s="2"/>
    </row>
    <row r="29" spans="1:4">
      <c r="A29" t="s">
        <v>110</v>
      </c>
      <c r="D29" s="2"/>
    </row>
    <row r="30" spans="1:4">
      <c r="A30" t="s">
        <v>117</v>
      </c>
      <c r="D30" s="2"/>
    </row>
    <row r="31" spans="1:4">
      <c r="A31" t="s">
        <v>119</v>
      </c>
      <c r="D31" s="2"/>
    </row>
    <row r="32" spans="1:4">
      <c r="A32" t="s">
        <v>121</v>
      </c>
      <c r="D32" s="2"/>
    </row>
    <row r="33" spans="1:4">
      <c r="A33" t="s">
        <v>125</v>
      </c>
      <c r="D33" s="2"/>
    </row>
    <row r="34" spans="1:4">
      <c r="A34" t="s">
        <v>126</v>
      </c>
      <c r="D34" s="2"/>
    </row>
    <row r="35" spans="1:4">
      <c r="A35" t="s">
        <v>798</v>
      </c>
      <c r="D35" s="2"/>
    </row>
    <row r="36" spans="1:4">
      <c r="A36" t="s">
        <v>129</v>
      </c>
      <c r="D36" s="2"/>
    </row>
    <row r="37" spans="1:4">
      <c r="A37" t="s">
        <v>130</v>
      </c>
      <c r="D37" s="2"/>
    </row>
    <row r="38" spans="1:4">
      <c r="A38" t="s">
        <v>133</v>
      </c>
      <c r="D38" s="2"/>
    </row>
    <row r="39" spans="1:4">
      <c r="A39" t="s">
        <v>134</v>
      </c>
      <c r="D39" s="2"/>
    </row>
    <row r="40" spans="1:4">
      <c r="A40" t="s">
        <v>140</v>
      </c>
      <c r="D40" s="2"/>
    </row>
    <row r="41" spans="1:4">
      <c r="A41" t="s">
        <v>799</v>
      </c>
      <c r="D41" s="2"/>
    </row>
    <row r="42" spans="1:4">
      <c r="A42" t="s">
        <v>142</v>
      </c>
      <c r="D42" s="2"/>
    </row>
    <row r="43" spans="1:4">
      <c r="A43" t="s">
        <v>149</v>
      </c>
      <c r="D43" s="2"/>
    </row>
    <row r="44" spans="1:4">
      <c r="A44" t="s">
        <v>153</v>
      </c>
      <c r="D44" s="2"/>
    </row>
    <row r="45" spans="1:4">
      <c r="A45" t="s">
        <v>802</v>
      </c>
      <c r="D45" s="2"/>
    </row>
    <row r="46" spans="1:4">
      <c r="A46" t="s">
        <v>157</v>
      </c>
      <c r="D46" s="2"/>
    </row>
    <row r="47" spans="1:4">
      <c r="A47" t="s">
        <v>160</v>
      </c>
      <c r="D47" s="2"/>
    </row>
    <row r="48" spans="1:4">
      <c r="A48" t="s">
        <v>166</v>
      </c>
      <c r="D48" s="2"/>
    </row>
    <row r="49" spans="1:4">
      <c r="A49" t="s">
        <v>169</v>
      </c>
      <c r="D49" s="2"/>
    </row>
    <row r="50" spans="1:4">
      <c r="A50" t="s">
        <v>173</v>
      </c>
      <c r="D50" s="2"/>
    </row>
    <row r="51" spans="1:4">
      <c r="A51" t="s">
        <v>178</v>
      </c>
      <c r="D51" s="2"/>
    </row>
    <row r="52" spans="1:4">
      <c r="A52" t="s">
        <v>179</v>
      </c>
      <c r="D52" s="2"/>
    </row>
    <row r="53" spans="1:4">
      <c r="A53" t="s">
        <v>806</v>
      </c>
      <c r="D53" s="2"/>
    </row>
    <row r="54" spans="1:4">
      <c r="A54" t="s">
        <v>189</v>
      </c>
      <c r="D54" s="2"/>
    </row>
    <row r="55" spans="1:4">
      <c r="A55" t="s">
        <v>191</v>
      </c>
      <c r="D55" s="2"/>
    </row>
    <row r="56" spans="1:4">
      <c r="A56" t="s">
        <v>209</v>
      </c>
      <c r="D56" s="2"/>
    </row>
    <row r="57" spans="1:4">
      <c r="A57" t="s">
        <v>213</v>
      </c>
      <c r="D57" s="2"/>
    </row>
    <row r="58" spans="1:4">
      <c r="A58" t="s">
        <v>216</v>
      </c>
      <c r="D58" s="2"/>
    </row>
    <row r="59" spans="1:4">
      <c r="A59" t="s">
        <v>222</v>
      </c>
      <c r="D59" s="2"/>
    </row>
    <row r="60" spans="1:4">
      <c r="A60" t="s">
        <v>811</v>
      </c>
      <c r="D60" s="2"/>
    </row>
    <row r="61" spans="1:4">
      <c r="A61" t="s">
        <v>812</v>
      </c>
      <c r="D61" s="2"/>
    </row>
    <row r="62" spans="1:4">
      <c r="A62" t="s">
        <v>226</v>
      </c>
      <c r="D62" s="2"/>
    </row>
    <row r="63" spans="1:4">
      <c r="A63" t="s">
        <v>235</v>
      </c>
      <c r="D63" s="2"/>
    </row>
    <row r="64" spans="1:4">
      <c r="A64" t="s">
        <v>238</v>
      </c>
      <c r="D64" s="2"/>
    </row>
    <row r="65" spans="1:4">
      <c r="A65" t="s">
        <v>239</v>
      </c>
      <c r="D65" s="2"/>
    </row>
    <row r="66" spans="1:4">
      <c r="A66" t="s">
        <v>240</v>
      </c>
      <c r="D66" s="2"/>
    </row>
    <row r="67" spans="1:4">
      <c r="A67" t="s">
        <v>241</v>
      </c>
      <c r="D67" s="2"/>
    </row>
    <row r="68" spans="1:4">
      <c r="A68" t="s">
        <v>242</v>
      </c>
      <c r="D68" s="2"/>
    </row>
    <row r="69" spans="1:4">
      <c r="A69" t="s">
        <v>243</v>
      </c>
      <c r="D69" s="2"/>
    </row>
    <row r="70" spans="1:4">
      <c r="A70" t="s">
        <v>816</v>
      </c>
      <c r="D70" s="2"/>
    </row>
    <row r="71" spans="1:4">
      <c r="A71" t="s">
        <v>251</v>
      </c>
      <c r="D71" s="2"/>
    </row>
    <row r="72" spans="1:4">
      <c r="A72" t="s">
        <v>258</v>
      </c>
      <c r="D72" s="2"/>
    </row>
    <row r="73" spans="1:4">
      <c r="A73" t="s">
        <v>260</v>
      </c>
      <c r="D73" s="2"/>
    </row>
    <row r="74" spans="1:4">
      <c r="A74" t="s">
        <v>818</v>
      </c>
      <c r="D74" s="2"/>
    </row>
    <row r="75" spans="1:4">
      <c r="A75" t="s">
        <v>265</v>
      </c>
      <c r="D75" s="2"/>
    </row>
    <row r="76" spans="1:4">
      <c r="A76" t="s">
        <v>266</v>
      </c>
      <c r="D76" s="2"/>
    </row>
    <row r="77" spans="1:4">
      <c r="A77" t="s">
        <v>268</v>
      </c>
      <c r="D77" s="2"/>
    </row>
    <row r="78" spans="1:4">
      <c r="A78" t="s">
        <v>271</v>
      </c>
      <c r="D78" s="2"/>
    </row>
    <row r="79" spans="1:4">
      <c r="A79" t="s">
        <v>273</v>
      </c>
      <c r="D79" s="2"/>
    </row>
    <row r="80" spans="1:4">
      <c r="A80" t="s">
        <v>287</v>
      </c>
      <c r="D80" s="2"/>
    </row>
    <row r="81" spans="1:4">
      <c r="A81" t="s">
        <v>296</v>
      </c>
      <c r="D81" s="2"/>
    </row>
    <row r="82" spans="1:4">
      <c r="A82" t="s">
        <v>299</v>
      </c>
      <c r="D82" s="2"/>
    </row>
    <row r="83" spans="1:4">
      <c r="A83" t="s">
        <v>300</v>
      </c>
      <c r="D83" s="2"/>
    </row>
    <row r="84" spans="1:4">
      <c r="A84" t="s">
        <v>877</v>
      </c>
      <c r="D84" s="2"/>
    </row>
    <row r="85" spans="1:4">
      <c r="A85" t="s">
        <v>303</v>
      </c>
      <c r="D85" s="2"/>
    </row>
    <row r="86" spans="1:4">
      <c r="A86" t="s">
        <v>310</v>
      </c>
      <c r="D86" s="2"/>
    </row>
    <row r="87" spans="1:4">
      <c r="A87" t="s">
        <v>314</v>
      </c>
      <c r="D87" s="2"/>
    </row>
    <row r="88" spans="1:4">
      <c r="A88" t="s">
        <v>318</v>
      </c>
      <c r="D88" s="2"/>
    </row>
    <row r="89" spans="1:4">
      <c r="A89" t="s">
        <v>321</v>
      </c>
      <c r="D89" s="2"/>
    </row>
    <row r="90" spans="1:4">
      <c r="A90" t="s">
        <v>326</v>
      </c>
      <c r="D90" s="2"/>
    </row>
    <row r="91" spans="1:4">
      <c r="A91" t="s">
        <v>328</v>
      </c>
      <c r="D91" s="2"/>
    </row>
    <row r="92" spans="1:4">
      <c r="A92" t="s">
        <v>330</v>
      </c>
      <c r="D92" s="2"/>
    </row>
    <row r="93" spans="1:4">
      <c r="A93" t="s">
        <v>331</v>
      </c>
      <c r="D93" s="2"/>
    </row>
    <row r="94" spans="1:4">
      <c r="D94" s="2"/>
    </row>
    <row r="95" spans="1:4">
      <c r="D95" s="2"/>
    </row>
    <row r="96" spans="1:4">
      <c r="D96" s="2"/>
    </row>
    <row r="97" spans="4:4">
      <c r="D97" s="2"/>
    </row>
    <row r="98" spans="4:4">
      <c r="D98" s="2"/>
    </row>
    <row r="99" spans="4:4">
      <c r="D99" s="2"/>
    </row>
    <row r="100" spans="4:4">
      <c r="D100" s="2"/>
    </row>
    <row r="101" spans="4:4">
      <c r="D101" s="2"/>
    </row>
    <row r="102" spans="4:4">
      <c r="D102" s="2"/>
    </row>
    <row r="103" spans="4:4">
      <c r="D103" s="2"/>
    </row>
    <row r="104" spans="4:4">
      <c r="D104" s="2"/>
    </row>
    <row r="105" spans="4:4">
      <c r="D105" s="2"/>
    </row>
    <row r="106" spans="4:4">
      <c r="D106" s="2"/>
    </row>
    <row r="107" spans="4:4">
      <c r="D107" s="2"/>
    </row>
    <row r="108" spans="4:4">
      <c r="D108" s="2"/>
    </row>
    <row r="109" spans="4:4">
      <c r="D109" s="2"/>
    </row>
    <row r="110" spans="4:4">
      <c r="D110" s="2"/>
    </row>
    <row r="111" spans="4:4">
      <c r="D111" s="2"/>
    </row>
    <row r="112" spans="4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19"/>
    </row>
    <row r="344" spans="4:4">
      <c r="D344" s="19"/>
    </row>
    <row r="345" spans="4:4">
      <c r="D345" s="19"/>
    </row>
    <row r="346" spans="4:4">
      <c r="D346" s="19"/>
    </row>
    <row r="347" spans="4:4">
      <c r="D347" s="19"/>
    </row>
    <row r="348" spans="4:4">
      <c r="D348" s="2"/>
    </row>
    <row r="350" spans="4:4">
      <c r="D350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077F4-450E-4B2C-BE6A-71780C08D860}">
  <sheetPr codeName="工作表11"/>
  <dimension ref="A1:D302"/>
  <sheetViews>
    <sheetView workbookViewId="0">
      <pane ySplit="6675" topLeftCell="A95"/>
      <selection activeCell="B2" sqref="B2"/>
      <selection pane="bottomLeft" activeCell="A4" sqref="A4:A99"/>
    </sheetView>
  </sheetViews>
  <sheetFormatPr defaultRowHeight="16.5"/>
  <cols>
    <col min="1" max="1" width="11.75" customWidth="1"/>
    <col min="2" max="2" width="9.125" customWidth="1"/>
  </cols>
  <sheetData>
    <row r="1" spans="1:4" ht="20.25">
      <c r="A1" s="1" t="s">
        <v>9</v>
      </c>
      <c r="D1" t="s">
        <v>1</v>
      </c>
    </row>
    <row r="2" spans="1:4">
      <c r="D2" t="s">
        <v>758</v>
      </c>
    </row>
    <row r="3" spans="1:4">
      <c r="A3" s="2" t="s">
        <v>10</v>
      </c>
      <c r="B3" s="2"/>
      <c r="D3" t="s">
        <v>4</v>
      </c>
    </row>
    <row r="4" spans="1:4">
      <c r="A4" t="s">
        <v>29</v>
      </c>
    </row>
    <row r="5" spans="1:4">
      <c r="A5" t="s">
        <v>32</v>
      </c>
      <c r="D5" s="2" t="s">
        <v>375</v>
      </c>
    </row>
    <row r="6" spans="1:4">
      <c r="A6" t="s">
        <v>39</v>
      </c>
      <c r="D6" s="2"/>
    </row>
    <row r="7" spans="1:4">
      <c r="A7" t="s">
        <v>43</v>
      </c>
      <c r="D7" s="2"/>
    </row>
    <row r="8" spans="1:4">
      <c r="A8" t="s">
        <v>46</v>
      </c>
      <c r="D8" s="2"/>
    </row>
    <row r="9" spans="1:4">
      <c r="A9" t="s">
        <v>47</v>
      </c>
      <c r="D9" s="2"/>
    </row>
    <row r="10" spans="1:4">
      <c r="A10" t="s">
        <v>48</v>
      </c>
      <c r="D10" s="2"/>
    </row>
    <row r="11" spans="1:4">
      <c r="A11" t="s">
        <v>50</v>
      </c>
      <c r="D11" s="2"/>
    </row>
    <row r="12" spans="1:4">
      <c r="A12" t="s">
        <v>55</v>
      </c>
      <c r="D12" s="2"/>
    </row>
    <row r="13" spans="1:4">
      <c r="A13" t="s">
        <v>829</v>
      </c>
      <c r="D13" s="2"/>
    </row>
    <row r="14" spans="1:4">
      <c r="A14" t="s">
        <v>61</v>
      </c>
      <c r="D14" s="2"/>
    </row>
    <row r="15" spans="1:4">
      <c r="A15" t="s">
        <v>63</v>
      </c>
      <c r="D15" s="2"/>
    </row>
    <row r="16" spans="1:4">
      <c r="A16" t="s">
        <v>64</v>
      </c>
      <c r="D16" s="2"/>
    </row>
    <row r="17" spans="1:4">
      <c r="A17" t="s">
        <v>790</v>
      </c>
      <c r="D17" s="2"/>
    </row>
    <row r="18" spans="1:4">
      <c r="A18" t="s">
        <v>791</v>
      </c>
      <c r="D18" s="2"/>
    </row>
    <row r="19" spans="1:4">
      <c r="A19" t="s">
        <v>73</v>
      </c>
      <c r="D19" s="2"/>
    </row>
    <row r="20" spans="1:4">
      <c r="A20" t="s">
        <v>74</v>
      </c>
      <c r="D20" s="2"/>
    </row>
    <row r="21" spans="1:4">
      <c r="A21" t="s">
        <v>78</v>
      </c>
      <c r="D21" s="2"/>
    </row>
    <row r="22" spans="1:4">
      <c r="A22" t="s">
        <v>79</v>
      </c>
      <c r="D22" s="2"/>
    </row>
    <row r="23" spans="1:4">
      <c r="A23" t="s">
        <v>82</v>
      </c>
      <c r="D23" s="2"/>
    </row>
    <row r="24" spans="1:4">
      <c r="A24" t="s">
        <v>83</v>
      </c>
      <c r="D24" s="2"/>
    </row>
    <row r="25" spans="1:4">
      <c r="A25" t="s">
        <v>86</v>
      </c>
      <c r="D25" s="2"/>
    </row>
    <row r="26" spans="1:4">
      <c r="A26" t="s">
        <v>93</v>
      </c>
      <c r="D26" s="2"/>
    </row>
    <row r="27" spans="1:4">
      <c r="A27" t="s">
        <v>97</v>
      </c>
      <c r="D27" s="2"/>
    </row>
    <row r="28" spans="1:4">
      <c r="A28" t="s">
        <v>101</v>
      </c>
      <c r="D28" s="2"/>
    </row>
    <row r="29" spans="1:4">
      <c r="A29" t="s">
        <v>103</v>
      </c>
      <c r="D29" s="2"/>
    </row>
    <row r="30" spans="1:4">
      <c r="A30" t="s">
        <v>108</v>
      </c>
      <c r="D30" s="2"/>
    </row>
    <row r="31" spans="1:4">
      <c r="A31" t="s">
        <v>114</v>
      </c>
      <c r="D31" s="2"/>
    </row>
    <row r="32" spans="1:4">
      <c r="A32" t="s">
        <v>116</v>
      </c>
      <c r="D32" s="2"/>
    </row>
    <row r="33" spans="1:4">
      <c r="A33" t="s">
        <v>122</v>
      </c>
      <c r="D33" s="2"/>
    </row>
    <row r="34" spans="1:4">
      <c r="A34" t="s">
        <v>797</v>
      </c>
      <c r="D34" s="2"/>
    </row>
    <row r="35" spans="1:4">
      <c r="A35" t="s">
        <v>139</v>
      </c>
      <c r="D35" s="2"/>
    </row>
    <row r="36" spans="1:4">
      <c r="A36" t="s">
        <v>146</v>
      </c>
      <c r="D36" s="2"/>
    </row>
    <row r="37" spans="1:4">
      <c r="A37" t="s">
        <v>147</v>
      </c>
      <c r="D37" s="2"/>
    </row>
    <row r="38" spans="1:4">
      <c r="A38" t="s">
        <v>151</v>
      </c>
      <c r="D38" s="2"/>
    </row>
    <row r="39" spans="1:4">
      <c r="A39" t="s">
        <v>801</v>
      </c>
      <c r="D39" s="2"/>
    </row>
    <row r="40" spans="1:4">
      <c r="A40" t="s">
        <v>155</v>
      </c>
      <c r="D40" s="2"/>
    </row>
    <row r="41" spans="1:4">
      <c r="A41" t="s">
        <v>158</v>
      </c>
      <c r="D41" s="2"/>
    </row>
    <row r="42" spans="1:4">
      <c r="A42" t="s">
        <v>163</v>
      </c>
      <c r="D42" s="2"/>
    </row>
    <row r="43" spans="1:4">
      <c r="A43" t="s">
        <v>165</v>
      </c>
      <c r="D43" s="2"/>
    </row>
    <row r="44" spans="1:4">
      <c r="A44" t="s">
        <v>804</v>
      </c>
      <c r="D44" s="2"/>
    </row>
    <row r="45" spans="1:4">
      <c r="A45" t="s">
        <v>170</v>
      </c>
      <c r="D45" s="2"/>
    </row>
    <row r="46" spans="1:4">
      <c r="A46" t="s">
        <v>171</v>
      </c>
      <c r="D46" s="2"/>
    </row>
    <row r="47" spans="1:4">
      <c r="A47" t="s">
        <v>174</v>
      </c>
      <c r="D47" s="2"/>
    </row>
    <row r="48" spans="1:4">
      <c r="A48" t="s">
        <v>175</v>
      </c>
      <c r="D48" s="2"/>
    </row>
    <row r="49" spans="1:4">
      <c r="A49" t="s">
        <v>176</v>
      </c>
      <c r="D49" s="2"/>
    </row>
    <row r="50" spans="1:4">
      <c r="A50" t="s">
        <v>177</v>
      </c>
      <c r="D50" s="2"/>
    </row>
    <row r="51" spans="1:4">
      <c r="A51" t="s">
        <v>805</v>
      </c>
      <c r="D51" s="2"/>
    </row>
    <row r="52" spans="1:4">
      <c r="A52" t="s">
        <v>183</v>
      </c>
      <c r="D52" s="2"/>
    </row>
    <row r="53" spans="1:4">
      <c r="A53" t="s">
        <v>184</v>
      </c>
      <c r="D53" s="2"/>
    </row>
    <row r="54" spans="1:4">
      <c r="A54" t="s">
        <v>185</v>
      </c>
      <c r="D54" s="2"/>
    </row>
    <row r="55" spans="1:4">
      <c r="A55" t="s">
        <v>186</v>
      </c>
      <c r="D55" s="2"/>
    </row>
    <row r="56" spans="1:4">
      <c r="A56" t="s">
        <v>187</v>
      </c>
      <c r="D56" s="2"/>
    </row>
    <row r="57" spans="1:4">
      <c r="A57" t="s">
        <v>188</v>
      </c>
      <c r="D57" s="2"/>
    </row>
    <row r="58" spans="1:4">
      <c r="A58" t="s">
        <v>190</v>
      </c>
      <c r="D58" s="2"/>
    </row>
    <row r="59" spans="1:4">
      <c r="A59" t="s">
        <v>192</v>
      </c>
      <c r="D59" s="2"/>
    </row>
    <row r="60" spans="1:4">
      <c r="A60" t="s">
        <v>808</v>
      </c>
      <c r="D60" s="2"/>
    </row>
    <row r="61" spans="1:4">
      <c r="A61" t="s">
        <v>200</v>
      </c>
      <c r="D61" s="2"/>
    </row>
    <row r="62" spans="1:4">
      <c r="A62" t="s">
        <v>201</v>
      </c>
      <c r="D62" s="2"/>
    </row>
    <row r="63" spans="1:4">
      <c r="A63" t="s">
        <v>207</v>
      </c>
      <c r="D63" s="2"/>
    </row>
    <row r="64" spans="1:4">
      <c r="A64" t="s">
        <v>208</v>
      </c>
      <c r="D64" s="2"/>
    </row>
    <row r="65" spans="1:4">
      <c r="A65" t="s">
        <v>809</v>
      </c>
      <c r="D65" s="2"/>
    </row>
    <row r="66" spans="1:4">
      <c r="A66" t="s">
        <v>212</v>
      </c>
      <c r="D66" s="2"/>
    </row>
    <row r="67" spans="1:4">
      <c r="A67" t="s">
        <v>215</v>
      </c>
      <c r="D67" s="2"/>
    </row>
    <row r="68" spans="1:4">
      <c r="A68" t="s">
        <v>217</v>
      </c>
      <c r="D68" s="2"/>
    </row>
    <row r="69" spans="1:4">
      <c r="A69" t="s">
        <v>219</v>
      </c>
      <c r="D69" s="2"/>
    </row>
    <row r="70" spans="1:4">
      <c r="A70" t="s">
        <v>221</v>
      </c>
      <c r="D70" s="2"/>
    </row>
    <row r="71" spans="1:4">
      <c r="A71" t="s">
        <v>223</v>
      </c>
      <c r="D71" s="2"/>
    </row>
    <row r="72" spans="1:4">
      <c r="A72" t="s">
        <v>228</v>
      </c>
      <c r="D72" s="2"/>
    </row>
    <row r="73" spans="1:4">
      <c r="A73" t="s">
        <v>229</v>
      </c>
      <c r="D73" s="2"/>
    </row>
    <row r="74" spans="1:4">
      <c r="A74" t="s">
        <v>230</v>
      </c>
      <c r="D74" s="2"/>
    </row>
    <row r="75" spans="1:4">
      <c r="A75" t="s">
        <v>231</v>
      </c>
      <c r="D75" s="2"/>
    </row>
    <row r="76" spans="1:4">
      <c r="A76" t="s">
        <v>234</v>
      </c>
      <c r="D76" s="2"/>
    </row>
    <row r="77" spans="1:4">
      <c r="A77" t="s">
        <v>813</v>
      </c>
      <c r="D77" s="2"/>
    </row>
    <row r="78" spans="1:4">
      <c r="A78" t="s">
        <v>814</v>
      </c>
      <c r="D78" s="2"/>
    </row>
    <row r="79" spans="1:4">
      <c r="A79" t="s">
        <v>253</v>
      </c>
      <c r="D79" s="2"/>
    </row>
    <row r="80" spans="1:4">
      <c r="A80" t="s">
        <v>254</v>
      </c>
      <c r="D80" s="2"/>
    </row>
    <row r="81" spans="1:4">
      <c r="A81" t="s">
        <v>257</v>
      </c>
      <c r="D81" s="2"/>
    </row>
    <row r="82" spans="1:4">
      <c r="A82" t="s">
        <v>261</v>
      </c>
      <c r="D82" s="2"/>
    </row>
    <row r="83" spans="1:4">
      <c r="A83" t="s">
        <v>817</v>
      </c>
      <c r="D83" s="2"/>
    </row>
    <row r="84" spans="1:4">
      <c r="A84" t="s">
        <v>270</v>
      </c>
      <c r="D84" s="2"/>
    </row>
    <row r="85" spans="1:4">
      <c r="A85" t="s">
        <v>272</v>
      </c>
      <c r="D85" s="2"/>
    </row>
    <row r="86" spans="1:4">
      <c r="A86" t="s">
        <v>274</v>
      </c>
      <c r="D86" s="2"/>
    </row>
    <row r="87" spans="1:4">
      <c r="A87" t="s">
        <v>276</v>
      </c>
      <c r="D87" s="2"/>
    </row>
    <row r="88" spans="1:4">
      <c r="A88" t="s">
        <v>819</v>
      </c>
      <c r="D88" s="2"/>
    </row>
    <row r="89" spans="1:4">
      <c r="A89" t="s">
        <v>289</v>
      </c>
      <c r="D89" s="2"/>
    </row>
    <row r="90" spans="1:4">
      <c r="A90" t="s">
        <v>822</v>
      </c>
      <c r="D90" s="2"/>
    </row>
    <row r="91" spans="1:4">
      <c r="A91" t="s">
        <v>295</v>
      </c>
      <c r="D91" s="2"/>
    </row>
    <row r="92" spans="1:4">
      <c r="A92" s="35" t="s">
        <v>915</v>
      </c>
      <c r="D92" s="2"/>
    </row>
    <row r="93" spans="1:4">
      <c r="A93" t="s">
        <v>301</v>
      </c>
      <c r="D93" s="2"/>
    </row>
    <row r="94" spans="1:4">
      <c r="A94" t="s">
        <v>309</v>
      </c>
      <c r="D94" s="2"/>
    </row>
    <row r="95" spans="1:4">
      <c r="A95" t="s">
        <v>312</v>
      </c>
      <c r="D95" s="2"/>
    </row>
    <row r="96" spans="1:4">
      <c r="A96" t="s">
        <v>325</v>
      </c>
      <c r="D96" s="2"/>
    </row>
    <row r="97" spans="1:4">
      <c r="A97" t="s">
        <v>327</v>
      </c>
      <c r="D97" s="2"/>
    </row>
    <row r="98" spans="1:4">
      <c r="D98" s="2"/>
    </row>
    <row r="99" spans="1:4">
      <c r="D99" s="2"/>
    </row>
    <row r="100" spans="1:4">
      <c r="D100" s="2"/>
    </row>
    <row r="101" spans="1:4">
      <c r="D101" s="2"/>
    </row>
    <row r="102" spans="1:4">
      <c r="D102" s="2"/>
    </row>
    <row r="103" spans="1:4">
      <c r="D103" s="2"/>
    </row>
    <row r="104" spans="1:4">
      <c r="D104" s="2"/>
    </row>
    <row r="105" spans="1:4"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19"/>
    </row>
    <row r="294" spans="4:4">
      <c r="D294" s="19"/>
    </row>
    <row r="295" spans="4:4">
      <c r="D295" s="19"/>
    </row>
    <row r="296" spans="4:4">
      <c r="D296" s="19"/>
    </row>
    <row r="297" spans="4:4">
      <c r="D297" s="19"/>
    </row>
    <row r="298" spans="4:4">
      <c r="D298" s="19"/>
    </row>
    <row r="299" spans="4:4">
      <c r="D299" s="19"/>
    </row>
    <row r="300" spans="4:4">
      <c r="D300" s="2"/>
    </row>
    <row r="302" spans="4:4">
      <c r="D302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7AB48-D128-4FED-A083-31454DAE9665}">
  <sheetPr codeName="工作表3"/>
  <dimension ref="A1:J316"/>
  <sheetViews>
    <sheetView workbookViewId="0">
      <selection activeCell="B2" sqref="B2"/>
    </sheetView>
  </sheetViews>
  <sheetFormatPr defaultRowHeight="16.5"/>
  <cols>
    <col min="2" max="2" width="9" customWidth="1"/>
    <col min="3" max="3" width="7" customWidth="1"/>
    <col min="4" max="4" width="6.75" customWidth="1"/>
    <col min="5" max="5" width="17.875" customWidth="1"/>
    <col min="6" max="7" width="13.5" customWidth="1"/>
    <col min="8" max="8" width="12.125" customWidth="1"/>
  </cols>
  <sheetData>
    <row r="1" spans="1:10" ht="20.25">
      <c r="A1" s="1" t="s">
        <v>759</v>
      </c>
      <c r="E1" t="s">
        <v>335</v>
      </c>
      <c r="F1">
        <f>SUM(B:B)</f>
        <v>12477.209999999994</v>
      </c>
      <c r="G1" t="s">
        <v>334</v>
      </c>
      <c r="H1">
        <f>COUNT(B:B)</f>
        <v>313</v>
      </c>
      <c r="I1" t="s">
        <v>381</v>
      </c>
      <c r="J1">
        <f>SUM(G4:G316)/300</f>
        <v>309</v>
      </c>
    </row>
    <row r="3" spans="1:10">
      <c r="A3" s="2" t="s">
        <v>16</v>
      </c>
      <c r="B3" s="2" t="s">
        <v>382</v>
      </c>
      <c r="C3" s="2" t="s">
        <v>383</v>
      </c>
      <c r="D3" s="2" t="s">
        <v>384</v>
      </c>
      <c r="E3" s="2" t="s">
        <v>385</v>
      </c>
      <c r="F3" s="2" t="s">
        <v>386</v>
      </c>
      <c r="G3" s="2" t="s">
        <v>387</v>
      </c>
      <c r="H3" s="2"/>
      <c r="I3" s="2"/>
      <c r="J3" s="2"/>
    </row>
    <row r="4" spans="1:10">
      <c r="A4" t="s">
        <v>11</v>
      </c>
      <c r="B4" s="25">
        <v>41.84</v>
      </c>
      <c r="C4" t="s">
        <v>1497</v>
      </c>
      <c r="E4" t="s">
        <v>784</v>
      </c>
      <c r="F4">
        <f>ROUND(B4*基本資料!$B$11,0)</f>
        <v>2510</v>
      </c>
      <c r="G4">
        <f>基本資料!$B$12*(IF(ISNUMBER(SEARCH("Y",C4)),1,0)+IF(ISNUMBER(SEARCH("Y",D4)),1,0)+IF(ISNUMBER(SEARCH("Y-MC",C4)),1,0))</f>
        <v>300</v>
      </c>
      <c r="H4" t="str">
        <f>IF(ISNUMBER(SEARCH("Y",B4)),"Y-000","")</f>
        <v/>
      </c>
      <c r="J4" t="str">
        <f>IF(ISNUMBER(SEARCH("Y",D4)),"Y-000","")</f>
        <v/>
      </c>
    </row>
    <row r="5" spans="1:10">
      <c r="A5" t="s">
        <v>28</v>
      </c>
      <c r="B5">
        <v>54.01</v>
      </c>
      <c r="C5" t="s">
        <v>1497</v>
      </c>
      <c r="D5" t="s">
        <v>1498</v>
      </c>
      <c r="E5" t="s">
        <v>389</v>
      </c>
      <c r="F5">
        <f>ROUND(B5*基本資料!$B$11,0)</f>
        <v>3241</v>
      </c>
      <c r="G5">
        <f>基本資料!$B$12*(IF(ISNUMBER(SEARCH("Y",C5)),1,0)+IF(ISNUMBER(SEARCH("Y",D5)),1,0)+IF(ISNUMBER(SEARCH("Y-MC",C5)),1,0))</f>
        <v>300</v>
      </c>
    </row>
    <row r="6" spans="1:10">
      <c r="A6" t="s">
        <v>29</v>
      </c>
      <c r="B6">
        <v>54.01</v>
      </c>
      <c r="C6" t="s">
        <v>1497</v>
      </c>
      <c r="D6" t="s">
        <v>1498</v>
      </c>
      <c r="E6" t="s">
        <v>390</v>
      </c>
      <c r="F6">
        <f>ROUND(B6*基本資料!$B$11,0)</f>
        <v>3241</v>
      </c>
      <c r="G6">
        <f>基本資料!$B$12*(IF(ISNUMBER(SEARCH("Y",C6)),1,0)+IF(ISNUMBER(SEARCH("Y",D6)),1,0)+IF(ISNUMBER(SEARCH("Y-MC",C6)),1,0))</f>
        <v>300</v>
      </c>
    </row>
    <row r="7" spans="1:10">
      <c r="A7" t="s">
        <v>30</v>
      </c>
      <c r="B7">
        <v>54.01</v>
      </c>
      <c r="C7" t="s">
        <v>1497</v>
      </c>
      <c r="D7" t="s">
        <v>1498</v>
      </c>
      <c r="E7" t="s">
        <v>391</v>
      </c>
      <c r="F7">
        <f>ROUND(B7*基本資料!$B$11,0)</f>
        <v>3241</v>
      </c>
      <c r="G7">
        <f>基本資料!$B$12*(IF(ISNUMBER(SEARCH("Y",C7)),1,0)+IF(ISNUMBER(SEARCH("Y",D7)),1,0)+IF(ISNUMBER(SEARCH("Y-MC",C7)),1,0))</f>
        <v>300</v>
      </c>
    </row>
    <row r="8" spans="1:10">
      <c r="A8" t="s">
        <v>31</v>
      </c>
      <c r="B8">
        <v>54.01</v>
      </c>
      <c r="C8" t="s">
        <v>1497</v>
      </c>
      <c r="D8" t="s">
        <v>1498</v>
      </c>
      <c r="E8" t="s">
        <v>392</v>
      </c>
      <c r="F8">
        <f>ROUND(B8*基本資料!$B$11,0)</f>
        <v>3241</v>
      </c>
      <c r="G8">
        <f>基本資料!$B$12*(IF(ISNUMBER(SEARCH("Y",C8)),1,0)+IF(ISNUMBER(SEARCH("Y",D8)),1,0)+IF(ISNUMBER(SEARCH("Y-MC",C8)),1,0))</f>
        <v>300</v>
      </c>
    </row>
    <row r="9" spans="1:10">
      <c r="A9" t="s">
        <v>32</v>
      </c>
      <c r="B9">
        <v>54.01</v>
      </c>
      <c r="C9" t="s">
        <v>1497</v>
      </c>
      <c r="D9" t="s">
        <v>1498</v>
      </c>
      <c r="E9" t="s">
        <v>393</v>
      </c>
      <c r="F9">
        <f>ROUND(B9*基本資料!$B$11,0)</f>
        <v>3241</v>
      </c>
      <c r="G9">
        <f>基本資料!$B$12*(IF(ISNUMBER(SEARCH("Y",C9)),1,0)+IF(ISNUMBER(SEARCH("Y",D9)),1,0)+IF(ISNUMBER(SEARCH("Y-MC",C9)),1,0))</f>
        <v>300</v>
      </c>
    </row>
    <row r="10" spans="1:10">
      <c r="A10" t="s">
        <v>33</v>
      </c>
      <c r="B10">
        <v>54.01</v>
      </c>
      <c r="C10" t="s">
        <v>1497</v>
      </c>
      <c r="D10" t="s">
        <v>1497</v>
      </c>
      <c r="E10" t="s">
        <v>394</v>
      </c>
      <c r="F10">
        <f>ROUND(B10*基本資料!$B$11,0)</f>
        <v>3241</v>
      </c>
      <c r="G10">
        <f>基本資料!$B$12*(IF(ISNUMBER(SEARCH("Y",C10)),1,0)+IF(ISNUMBER(SEARCH("Y",D10)),1,0)+IF(ISNUMBER(SEARCH("Y-MC",C10)),1,0))</f>
        <v>600</v>
      </c>
    </row>
    <row r="11" spans="1:10">
      <c r="A11" t="s">
        <v>34</v>
      </c>
      <c r="B11">
        <v>54.01</v>
      </c>
      <c r="C11" t="s">
        <v>1497</v>
      </c>
      <c r="D11" t="s">
        <v>1498</v>
      </c>
      <c r="E11" t="s">
        <v>395</v>
      </c>
      <c r="F11">
        <f>ROUND(B11*基本資料!$B$11,0)</f>
        <v>3241</v>
      </c>
      <c r="G11">
        <f>基本資料!$B$12*(IF(ISNUMBER(SEARCH("Y",C11)),1,0)+IF(ISNUMBER(SEARCH("Y",D11)),1,0)+IF(ISNUMBER(SEARCH("Y-MC",C11)),1,0))</f>
        <v>300</v>
      </c>
    </row>
    <row r="12" spans="1:10">
      <c r="A12" t="s">
        <v>35</v>
      </c>
      <c r="B12">
        <v>54.01</v>
      </c>
      <c r="C12" t="s">
        <v>1497</v>
      </c>
      <c r="D12" t="s">
        <v>1498</v>
      </c>
      <c r="E12" t="s">
        <v>396</v>
      </c>
      <c r="F12">
        <f>ROUND(B12*基本資料!$B$11,0)</f>
        <v>3241</v>
      </c>
      <c r="G12">
        <f>基本資料!$B$12*(IF(ISNUMBER(SEARCH("Y",C12)),1,0)+IF(ISNUMBER(SEARCH("Y",D12)),1,0)+IF(ISNUMBER(SEARCH("Y-MC",C12)),1,0))</f>
        <v>300</v>
      </c>
    </row>
    <row r="13" spans="1:10">
      <c r="A13" t="s">
        <v>36</v>
      </c>
      <c r="B13">
        <v>54.01</v>
      </c>
      <c r="C13" t="s">
        <v>1497</v>
      </c>
      <c r="D13" t="s">
        <v>1498</v>
      </c>
      <c r="E13" t="s">
        <v>397</v>
      </c>
      <c r="F13">
        <f>ROUND(B13*基本資料!$B$11,0)</f>
        <v>3241</v>
      </c>
      <c r="G13">
        <f>基本資料!$B$12*(IF(ISNUMBER(SEARCH("Y",C13)),1,0)+IF(ISNUMBER(SEARCH("Y",D13)),1,0)+IF(ISNUMBER(SEARCH("Y-MC",C13)),1,0))</f>
        <v>300</v>
      </c>
    </row>
    <row r="14" spans="1:10">
      <c r="A14" t="s">
        <v>37</v>
      </c>
      <c r="B14">
        <v>54.01</v>
      </c>
      <c r="C14" t="s">
        <v>1497</v>
      </c>
      <c r="D14" t="s">
        <v>1498</v>
      </c>
      <c r="E14" t="s">
        <v>398</v>
      </c>
      <c r="F14">
        <f>ROUND(B14*基本資料!$B$11,0)</f>
        <v>3241</v>
      </c>
      <c r="G14">
        <f>基本資料!$B$12*(IF(ISNUMBER(SEARCH("Y",C14)),1,0)+IF(ISNUMBER(SEARCH("Y",D14)),1,0)+IF(ISNUMBER(SEARCH("Y-MC",C14)),1,0))</f>
        <v>300</v>
      </c>
    </row>
    <row r="15" spans="1:10">
      <c r="A15" t="s">
        <v>38</v>
      </c>
      <c r="B15">
        <v>54.01</v>
      </c>
      <c r="C15" t="s">
        <v>1497</v>
      </c>
      <c r="D15" t="s">
        <v>1497</v>
      </c>
      <c r="E15" t="s">
        <v>399</v>
      </c>
      <c r="F15">
        <f>ROUND(B15*基本資料!$B$11,0)</f>
        <v>3241</v>
      </c>
      <c r="G15">
        <f>基本資料!$B$12*(IF(ISNUMBER(SEARCH("Y",C15)),1,0)+IF(ISNUMBER(SEARCH("Y",D15)),1,0)+IF(ISNUMBER(SEARCH("Y-MC",C15)),1,0))</f>
        <v>600</v>
      </c>
    </row>
    <row r="16" spans="1:10">
      <c r="A16" t="s">
        <v>39</v>
      </c>
      <c r="B16">
        <v>54.01</v>
      </c>
      <c r="C16" t="s">
        <v>1497</v>
      </c>
      <c r="D16" t="s">
        <v>1497</v>
      </c>
      <c r="E16" t="s">
        <v>400</v>
      </c>
      <c r="F16">
        <f>ROUND(B16*基本資料!$B$11,0)</f>
        <v>3241</v>
      </c>
      <c r="G16">
        <f>基本資料!$B$12*(IF(ISNUMBER(SEARCH("Y",C16)),1,0)+IF(ISNUMBER(SEARCH("Y",D16)),1,0)+IF(ISNUMBER(SEARCH("Y-MC",C16)),1,0))</f>
        <v>600</v>
      </c>
    </row>
    <row r="17" spans="1:7">
      <c r="A17" t="s">
        <v>40</v>
      </c>
      <c r="B17">
        <v>54.01</v>
      </c>
      <c r="C17" t="s">
        <v>1497</v>
      </c>
      <c r="D17" t="s">
        <v>1497</v>
      </c>
      <c r="E17" t="s">
        <v>401</v>
      </c>
      <c r="F17">
        <f>ROUND(B17*基本資料!$B$11,0)</f>
        <v>3241</v>
      </c>
      <c r="G17">
        <f>基本資料!$B$12*(IF(ISNUMBER(SEARCH("Y",C17)),1,0)+IF(ISNUMBER(SEARCH("Y",D17)),1,0)+IF(ISNUMBER(SEARCH("Y-MC",C17)),1,0))</f>
        <v>600</v>
      </c>
    </row>
    <row r="18" spans="1:7">
      <c r="A18" t="s">
        <v>41</v>
      </c>
      <c r="B18">
        <v>54.01</v>
      </c>
      <c r="C18" t="s">
        <v>1497</v>
      </c>
      <c r="D18" t="s">
        <v>1498</v>
      </c>
      <c r="E18" t="s">
        <v>402</v>
      </c>
      <c r="F18">
        <f>ROUND(B18*基本資料!$B$11,0)</f>
        <v>3241</v>
      </c>
      <c r="G18">
        <f>基本資料!$B$12*(IF(ISNUMBER(SEARCH("Y",C18)),1,0)+IF(ISNUMBER(SEARCH("Y",D18)),1,0)+IF(ISNUMBER(SEARCH("Y-MC",C18)),1,0))</f>
        <v>300</v>
      </c>
    </row>
    <row r="19" spans="1:7">
      <c r="A19" t="s">
        <v>5</v>
      </c>
      <c r="B19" s="25">
        <v>40.65</v>
      </c>
      <c r="C19" t="s">
        <v>1497</v>
      </c>
      <c r="D19" t="s">
        <v>1498</v>
      </c>
      <c r="E19" t="s">
        <v>388</v>
      </c>
      <c r="F19">
        <f>ROUND(B19*基本資料!$B$11,0)</f>
        <v>2439</v>
      </c>
      <c r="G19">
        <f>基本資料!$B$12*(IF(ISNUMBER(SEARCH("Y",C19)),1,0)+IF(ISNUMBER(SEARCH("Y",D19)),1,0)+IF(ISNUMBER(SEARCH("Y-MC",C19)),1,0))</f>
        <v>300</v>
      </c>
    </row>
    <row r="20" spans="1:7">
      <c r="A20" t="s">
        <v>42</v>
      </c>
      <c r="B20">
        <v>53.12</v>
      </c>
      <c r="C20" t="s">
        <v>1497</v>
      </c>
      <c r="D20" t="s">
        <v>1498</v>
      </c>
      <c r="E20" t="s">
        <v>403</v>
      </c>
      <c r="F20">
        <f>ROUND(B20*基本資料!$B$11,0)</f>
        <v>3187</v>
      </c>
      <c r="G20">
        <f>基本資料!$B$12*(IF(ISNUMBER(SEARCH("Y",C20)),1,0)+IF(ISNUMBER(SEARCH("Y",D20)),1,0)+IF(ISNUMBER(SEARCH("Y-MC",C20)),1,0))</f>
        <v>300</v>
      </c>
    </row>
    <row r="21" spans="1:7">
      <c r="A21" t="s">
        <v>43</v>
      </c>
      <c r="B21">
        <v>53.12</v>
      </c>
      <c r="C21" t="s">
        <v>1497</v>
      </c>
      <c r="D21" t="s">
        <v>1498</v>
      </c>
      <c r="E21" t="s">
        <v>404</v>
      </c>
      <c r="F21">
        <f>ROUND(B21*基本資料!$B$11,0)</f>
        <v>3187</v>
      </c>
      <c r="G21">
        <f>基本資料!$B$12*(IF(ISNUMBER(SEARCH("Y",C21)),1,0)+IF(ISNUMBER(SEARCH("Y",D21)),1,0)+IF(ISNUMBER(SEARCH("Y-MC",C21)),1,0))</f>
        <v>300</v>
      </c>
    </row>
    <row r="22" spans="1:7">
      <c r="A22" t="s">
        <v>44</v>
      </c>
      <c r="B22">
        <v>53.12</v>
      </c>
      <c r="C22" t="s">
        <v>1497</v>
      </c>
      <c r="D22" t="s">
        <v>1498</v>
      </c>
      <c r="E22" t="s">
        <v>405</v>
      </c>
      <c r="F22">
        <f>ROUND(B22*基本資料!$B$11,0)</f>
        <v>3187</v>
      </c>
      <c r="G22">
        <f>基本資料!$B$12*(IF(ISNUMBER(SEARCH("Y",C22)),1,0)+IF(ISNUMBER(SEARCH("Y",D22)),1,0)+IF(ISNUMBER(SEARCH("Y-MC",C22)),1,0))</f>
        <v>300</v>
      </c>
    </row>
    <row r="23" spans="1:7">
      <c r="A23" t="s">
        <v>45</v>
      </c>
      <c r="B23">
        <v>53.12</v>
      </c>
      <c r="C23" t="s">
        <v>1497</v>
      </c>
      <c r="D23" t="s">
        <v>1498</v>
      </c>
      <c r="E23" t="s">
        <v>406</v>
      </c>
      <c r="F23">
        <f>ROUND(B23*基本資料!$B$11,0)</f>
        <v>3187</v>
      </c>
      <c r="G23">
        <f>基本資料!$B$12*(IF(ISNUMBER(SEARCH("Y",C23)),1,0)+IF(ISNUMBER(SEARCH("Y",D23)),1,0)+IF(ISNUMBER(SEARCH("Y-MC",C23)),1,0))</f>
        <v>300</v>
      </c>
    </row>
    <row r="24" spans="1:7">
      <c r="A24" t="s">
        <v>46</v>
      </c>
      <c r="B24">
        <v>53.12</v>
      </c>
      <c r="C24" t="s">
        <v>1497</v>
      </c>
      <c r="D24" t="s">
        <v>1498</v>
      </c>
      <c r="E24" t="s">
        <v>407</v>
      </c>
      <c r="F24">
        <f>ROUND(B24*基本資料!$B$11,0)</f>
        <v>3187</v>
      </c>
      <c r="G24">
        <f>基本資料!$B$12*(IF(ISNUMBER(SEARCH("Y",C24)),1,0)+IF(ISNUMBER(SEARCH("Y",D24)),1,0)+IF(ISNUMBER(SEARCH("Y-MC",C24)),1,0))</f>
        <v>300</v>
      </c>
    </row>
    <row r="25" spans="1:7">
      <c r="A25" t="s">
        <v>47</v>
      </c>
      <c r="B25">
        <v>53.12</v>
      </c>
      <c r="C25" t="s">
        <v>1497</v>
      </c>
      <c r="D25" t="s">
        <v>1498</v>
      </c>
      <c r="E25" t="s">
        <v>408</v>
      </c>
      <c r="F25">
        <f>ROUND(B25*基本資料!$B$11,0)</f>
        <v>3187</v>
      </c>
      <c r="G25">
        <f>基本資料!$B$12*(IF(ISNUMBER(SEARCH("Y",C25)),1,0)+IF(ISNUMBER(SEARCH("Y",D25)),1,0)+IF(ISNUMBER(SEARCH("Y-MC",C25)),1,0))</f>
        <v>300</v>
      </c>
    </row>
    <row r="26" spans="1:7">
      <c r="A26" t="s">
        <v>48</v>
      </c>
      <c r="B26">
        <v>53.12</v>
      </c>
      <c r="C26" t="s">
        <v>1497</v>
      </c>
      <c r="D26" t="s">
        <v>1498</v>
      </c>
      <c r="E26" t="s">
        <v>409</v>
      </c>
      <c r="F26">
        <f>ROUND(B26*基本資料!$B$11,0)</f>
        <v>3187</v>
      </c>
      <c r="G26">
        <f>基本資料!$B$12*(IF(ISNUMBER(SEARCH("Y",C26)),1,0)+IF(ISNUMBER(SEARCH("Y",D26)),1,0)+IF(ISNUMBER(SEARCH("Y-MC",C26)),1,0))</f>
        <v>300</v>
      </c>
    </row>
    <row r="27" spans="1:7">
      <c r="A27" t="s">
        <v>49</v>
      </c>
      <c r="B27">
        <v>53.12</v>
      </c>
      <c r="C27" t="s">
        <v>1497</v>
      </c>
      <c r="D27" t="s">
        <v>1498</v>
      </c>
      <c r="E27" t="s">
        <v>410</v>
      </c>
      <c r="F27">
        <f>ROUND(B27*基本資料!$B$11,0)</f>
        <v>3187</v>
      </c>
      <c r="G27">
        <f>基本資料!$B$12*(IF(ISNUMBER(SEARCH("Y",C27)),1,0)+IF(ISNUMBER(SEARCH("Y",D27)),1,0)+IF(ISNUMBER(SEARCH("Y-MC",C27)),1,0))</f>
        <v>300</v>
      </c>
    </row>
    <row r="28" spans="1:7">
      <c r="A28" t="s">
        <v>50</v>
      </c>
      <c r="B28">
        <v>53.12</v>
      </c>
      <c r="C28" t="s">
        <v>1497</v>
      </c>
      <c r="D28" t="s">
        <v>1498</v>
      </c>
      <c r="E28" t="s">
        <v>411</v>
      </c>
      <c r="F28">
        <f>ROUND(B28*基本資料!$B$11,0)</f>
        <v>3187</v>
      </c>
      <c r="G28">
        <f>基本資料!$B$12*(IF(ISNUMBER(SEARCH("Y",C28)),1,0)+IF(ISNUMBER(SEARCH("Y",D28)),1,0)+IF(ISNUMBER(SEARCH("Y-MC",C28)),1,0))</f>
        <v>300</v>
      </c>
    </row>
    <row r="29" spans="1:7">
      <c r="A29" t="s">
        <v>51</v>
      </c>
      <c r="B29">
        <v>53.12</v>
      </c>
      <c r="C29" t="s">
        <v>1497</v>
      </c>
      <c r="D29" t="s">
        <v>1498</v>
      </c>
      <c r="E29" t="s">
        <v>412</v>
      </c>
      <c r="F29">
        <f>ROUND(B29*基本資料!$B$11,0)</f>
        <v>3187</v>
      </c>
      <c r="G29">
        <f>基本資料!$B$12*(IF(ISNUMBER(SEARCH("Y",C29)),1,0)+IF(ISNUMBER(SEARCH("Y",D29)),1,0)+IF(ISNUMBER(SEARCH("Y-MC",C29)),1,0))</f>
        <v>300</v>
      </c>
    </row>
    <row r="30" spans="1:7">
      <c r="A30" t="s">
        <v>52</v>
      </c>
      <c r="B30">
        <v>53.12</v>
      </c>
      <c r="C30" t="s">
        <v>1497</v>
      </c>
      <c r="D30" t="s">
        <v>1498</v>
      </c>
      <c r="E30" t="s">
        <v>413</v>
      </c>
      <c r="F30">
        <f>ROUND(B30*基本資料!$B$11,0)</f>
        <v>3187</v>
      </c>
      <c r="G30">
        <f>基本資料!$B$12*(IF(ISNUMBER(SEARCH("Y",C30)),1,0)+IF(ISNUMBER(SEARCH("Y",D30)),1,0)+IF(ISNUMBER(SEARCH("Y-MC",C30)),1,0))</f>
        <v>300</v>
      </c>
    </row>
    <row r="31" spans="1:7">
      <c r="A31" t="s">
        <v>53</v>
      </c>
      <c r="B31">
        <v>53.12</v>
      </c>
      <c r="C31" t="s">
        <v>1497</v>
      </c>
      <c r="D31" t="s">
        <v>1498</v>
      </c>
      <c r="E31" t="s">
        <v>414</v>
      </c>
      <c r="F31">
        <f>ROUND(B31*基本資料!$B$11,0)</f>
        <v>3187</v>
      </c>
      <c r="G31">
        <f>基本資料!$B$12*(IF(ISNUMBER(SEARCH("Y",C31)),1,0)+IF(ISNUMBER(SEARCH("Y",D31)),1,0)+IF(ISNUMBER(SEARCH("Y-MC",C31)),1,0))</f>
        <v>300</v>
      </c>
    </row>
    <row r="32" spans="1:7">
      <c r="A32" t="s">
        <v>54</v>
      </c>
      <c r="B32">
        <v>53.12</v>
      </c>
      <c r="C32" t="s">
        <v>1497</v>
      </c>
      <c r="D32" t="s">
        <v>1497</v>
      </c>
      <c r="E32" t="s">
        <v>415</v>
      </c>
      <c r="F32">
        <f>ROUND(B32*基本資料!$B$11,0)</f>
        <v>3187</v>
      </c>
      <c r="G32">
        <f>基本資料!$B$12*(IF(ISNUMBER(SEARCH("Y",C32)),1,0)+IF(ISNUMBER(SEARCH("Y",D32)),1,0)+IF(ISNUMBER(SEARCH("Y-MC",C32)),1,0))</f>
        <v>600</v>
      </c>
    </row>
    <row r="33" spans="1:7">
      <c r="A33" t="s">
        <v>55</v>
      </c>
      <c r="B33">
        <v>53.12</v>
      </c>
      <c r="C33" t="s">
        <v>1497</v>
      </c>
      <c r="D33" t="s">
        <v>1498</v>
      </c>
      <c r="E33" t="s">
        <v>416</v>
      </c>
      <c r="F33">
        <f>ROUND(B33*基本資料!$B$11,0)</f>
        <v>3187</v>
      </c>
      <c r="G33">
        <f>基本資料!$B$12*(IF(ISNUMBER(SEARCH("Y",C33)),1,0)+IF(ISNUMBER(SEARCH("Y",D33)),1,0)+IF(ISNUMBER(SEARCH("Y-MC",C33)),1,0))</f>
        <v>300</v>
      </c>
    </row>
    <row r="34" spans="1:7">
      <c r="A34" t="s">
        <v>56</v>
      </c>
      <c r="B34">
        <v>39.1</v>
      </c>
      <c r="C34" t="s">
        <v>1497</v>
      </c>
      <c r="D34" t="s">
        <v>1498</v>
      </c>
      <c r="E34" t="s">
        <v>417</v>
      </c>
      <c r="F34">
        <f>ROUND(B34*基本資料!$B$11,0)</f>
        <v>2346</v>
      </c>
      <c r="G34">
        <f>基本資料!$B$12*(IF(ISNUMBER(SEARCH("Y",C34)),1,0)+IF(ISNUMBER(SEARCH("Y",D34)),1,0)+IF(ISNUMBER(SEARCH("Y-MC",C34)),1,0))</f>
        <v>300</v>
      </c>
    </row>
    <row r="35" spans="1:7">
      <c r="A35" t="s">
        <v>57</v>
      </c>
      <c r="B35">
        <v>39.1</v>
      </c>
      <c r="C35" t="s">
        <v>1497</v>
      </c>
      <c r="D35" t="s">
        <v>1498</v>
      </c>
      <c r="E35" t="s">
        <v>418</v>
      </c>
      <c r="F35">
        <f>ROUND(B35*基本資料!$B$11,0)</f>
        <v>2346</v>
      </c>
      <c r="G35">
        <f>基本資料!$B$12*(IF(ISNUMBER(SEARCH("Y",C35)),1,0)+IF(ISNUMBER(SEARCH("Y",D35)),1,0)+IF(ISNUMBER(SEARCH("Y-MC",C35)),1,0))</f>
        <v>300</v>
      </c>
    </row>
    <row r="36" spans="1:7">
      <c r="A36" t="s">
        <v>58</v>
      </c>
      <c r="B36">
        <v>39.1</v>
      </c>
      <c r="C36" t="s">
        <v>1497</v>
      </c>
      <c r="D36" t="s">
        <v>1498</v>
      </c>
      <c r="E36" t="s">
        <v>419</v>
      </c>
      <c r="F36">
        <f>ROUND(B36*基本資料!$B$11,0)</f>
        <v>2346</v>
      </c>
      <c r="G36">
        <f>基本資料!$B$12*(IF(ISNUMBER(SEARCH("Y",C36)),1,0)+IF(ISNUMBER(SEARCH("Y",D36)),1,0)+IF(ISNUMBER(SEARCH("Y-MC",C36)),1,0))</f>
        <v>300</v>
      </c>
    </row>
    <row r="37" spans="1:7">
      <c r="A37" t="s">
        <v>59</v>
      </c>
      <c r="B37">
        <v>39.1</v>
      </c>
      <c r="C37" t="s">
        <v>1497</v>
      </c>
      <c r="D37" t="s">
        <v>1498</v>
      </c>
      <c r="E37" t="s">
        <v>420</v>
      </c>
      <c r="F37">
        <f>ROUND(B37*基本資料!$B$11,0)</f>
        <v>2346</v>
      </c>
      <c r="G37">
        <f>基本資料!$B$12*(IF(ISNUMBER(SEARCH("Y",C37)),1,0)+IF(ISNUMBER(SEARCH("Y",D37)),1,0)+IF(ISNUMBER(SEARCH("Y-MC",C37)),1,0))</f>
        <v>300</v>
      </c>
    </row>
    <row r="38" spans="1:7">
      <c r="A38" t="s">
        <v>60</v>
      </c>
      <c r="B38">
        <v>39.1</v>
      </c>
      <c r="C38" t="s">
        <v>1497</v>
      </c>
      <c r="D38" t="s">
        <v>1498</v>
      </c>
      <c r="E38" t="s">
        <v>421</v>
      </c>
      <c r="F38">
        <f>ROUND(B38*基本資料!$B$11,0)</f>
        <v>2346</v>
      </c>
      <c r="G38">
        <f>基本資料!$B$12*(IF(ISNUMBER(SEARCH("Y",C38)),1,0)+IF(ISNUMBER(SEARCH("Y",D38)),1,0)+IF(ISNUMBER(SEARCH("Y-MC",C38)),1,0))</f>
        <v>300</v>
      </c>
    </row>
    <row r="39" spans="1:7">
      <c r="A39" t="s">
        <v>61</v>
      </c>
      <c r="B39">
        <v>39.1</v>
      </c>
      <c r="C39" t="s">
        <v>1497</v>
      </c>
      <c r="D39" t="s">
        <v>1498</v>
      </c>
      <c r="E39" t="s">
        <v>422</v>
      </c>
      <c r="F39">
        <f>ROUND(B39*基本資料!$B$11,0)</f>
        <v>2346</v>
      </c>
      <c r="G39">
        <f>基本資料!$B$12*(IF(ISNUMBER(SEARCH("Y",C39)),1,0)+IF(ISNUMBER(SEARCH("Y",D39)),1,0)+IF(ISNUMBER(SEARCH("Y-MC",C39)),1,0))</f>
        <v>300</v>
      </c>
    </row>
    <row r="40" spans="1:7">
      <c r="A40" t="s">
        <v>62</v>
      </c>
      <c r="B40">
        <v>39.1</v>
      </c>
      <c r="C40" t="s">
        <v>1497</v>
      </c>
      <c r="D40" t="s">
        <v>1498</v>
      </c>
      <c r="E40" t="s">
        <v>423</v>
      </c>
      <c r="F40">
        <f>ROUND(B40*基本資料!$B$11,0)</f>
        <v>2346</v>
      </c>
      <c r="G40">
        <f>基本資料!$B$12*(IF(ISNUMBER(SEARCH("Y",C40)),1,0)+IF(ISNUMBER(SEARCH("Y",D40)),1,0)+IF(ISNUMBER(SEARCH("Y-MC",C40)),1,0))</f>
        <v>300</v>
      </c>
    </row>
    <row r="41" spans="1:7">
      <c r="A41" t="s">
        <v>63</v>
      </c>
      <c r="B41">
        <v>39.1</v>
      </c>
      <c r="C41" t="s">
        <v>1497</v>
      </c>
      <c r="D41" t="s">
        <v>1498</v>
      </c>
      <c r="E41" t="s">
        <v>424</v>
      </c>
      <c r="F41">
        <f>ROUND(B41*基本資料!$B$11,0)</f>
        <v>2346</v>
      </c>
      <c r="G41">
        <f>基本資料!$B$12*(IF(ISNUMBER(SEARCH("Y",C41)),1,0)+IF(ISNUMBER(SEARCH("Y",D41)),1,0)+IF(ISNUMBER(SEARCH("Y-MC",C41)),1,0))</f>
        <v>300</v>
      </c>
    </row>
    <row r="42" spans="1:7">
      <c r="A42" t="s">
        <v>64</v>
      </c>
      <c r="B42">
        <v>39.1</v>
      </c>
      <c r="C42" t="s">
        <v>1497</v>
      </c>
      <c r="D42" t="s">
        <v>1498</v>
      </c>
      <c r="E42" t="s">
        <v>425</v>
      </c>
      <c r="F42">
        <f>ROUND(B42*基本資料!$B$11,0)</f>
        <v>2346</v>
      </c>
      <c r="G42">
        <f>基本資料!$B$12*(IF(ISNUMBER(SEARCH("Y",C42)),1,0)+IF(ISNUMBER(SEARCH("Y",D42)),1,0)+IF(ISNUMBER(SEARCH("Y-MC",C42)),1,0))</f>
        <v>300</v>
      </c>
    </row>
    <row r="43" spans="1:7">
      <c r="A43" t="s">
        <v>65</v>
      </c>
      <c r="B43">
        <v>39.1</v>
      </c>
      <c r="C43" t="s">
        <v>1497</v>
      </c>
      <c r="D43" t="s">
        <v>1498</v>
      </c>
      <c r="E43" t="s">
        <v>426</v>
      </c>
      <c r="F43">
        <f>ROUND(B43*基本資料!$B$11,0)</f>
        <v>2346</v>
      </c>
      <c r="G43">
        <f>基本資料!$B$12*(IF(ISNUMBER(SEARCH("Y",C43)),1,0)+IF(ISNUMBER(SEARCH("Y",D43)),1,0)+IF(ISNUMBER(SEARCH("Y-MC",C43)),1,0))</f>
        <v>300</v>
      </c>
    </row>
    <row r="44" spans="1:7">
      <c r="A44" t="s">
        <v>66</v>
      </c>
      <c r="B44">
        <v>39.1</v>
      </c>
      <c r="C44" t="s">
        <v>1497</v>
      </c>
      <c r="D44" t="s">
        <v>1498</v>
      </c>
      <c r="E44" t="s">
        <v>427</v>
      </c>
      <c r="F44">
        <f>ROUND(B44*基本資料!$B$11,0)</f>
        <v>2346</v>
      </c>
      <c r="G44">
        <f>基本資料!$B$12*(IF(ISNUMBER(SEARCH("Y",C44)),1,0)+IF(ISNUMBER(SEARCH("Y",D44)),1,0)+IF(ISNUMBER(SEARCH("Y-MC",C44)),1,0))</f>
        <v>300</v>
      </c>
    </row>
    <row r="45" spans="1:7">
      <c r="A45" t="s">
        <v>67</v>
      </c>
      <c r="B45">
        <v>39.1</v>
      </c>
      <c r="C45" t="s">
        <v>1497</v>
      </c>
      <c r="D45" t="s">
        <v>1498</v>
      </c>
      <c r="E45" t="s">
        <v>428</v>
      </c>
      <c r="F45">
        <f>ROUND(B45*基本資料!$B$11,0)</f>
        <v>2346</v>
      </c>
      <c r="G45">
        <f>基本資料!$B$12*(IF(ISNUMBER(SEARCH("Y",C45)),1,0)+IF(ISNUMBER(SEARCH("Y",D45)),1,0)+IF(ISNUMBER(SEARCH("Y-MC",C45)),1,0))</f>
        <v>300</v>
      </c>
    </row>
    <row r="46" spans="1:7">
      <c r="A46" t="s">
        <v>68</v>
      </c>
      <c r="B46">
        <v>39.1</v>
      </c>
      <c r="C46" t="s">
        <v>1497</v>
      </c>
      <c r="D46" t="s">
        <v>1498</v>
      </c>
      <c r="E46" t="s">
        <v>429</v>
      </c>
      <c r="F46">
        <f>ROUND(B46*基本資料!$B$11,0)</f>
        <v>2346</v>
      </c>
      <c r="G46">
        <f>基本資料!$B$12*(IF(ISNUMBER(SEARCH("Y",C46)),1,0)+IF(ISNUMBER(SEARCH("Y",D46)),1,0)+IF(ISNUMBER(SEARCH("Y-MC",C46)),1,0))</f>
        <v>300</v>
      </c>
    </row>
    <row r="47" spans="1:7">
      <c r="A47" t="s">
        <v>69</v>
      </c>
      <c r="B47">
        <v>39.1</v>
      </c>
      <c r="C47" t="s">
        <v>1497</v>
      </c>
      <c r="D47" t="s">
        <v>1498</v>
      </c>
      <c r="E47" t="s">
        <v>430</v>
      </c>
      <c r="F47">
        <f>ROUND(B47*基本資料!$B$11,0)</f>
        <v>2346</v>
      </c>
      <c r="G47">
        <f>基本資料!$B$12*(IF(ISNUMBER(SEARCH("Y",C47)),1,0)+IF(ISNUMBER(SEARCH("Y",D47)),1,0)+IF(ISNUMBER(SEARCH("Y-MC",C47)),1,0))</f>
        <v>300</v>
      </c>
    </row>
    <row r="48" spans="1:7">
      <c r="A48" t="s">
        <v>70</v>
      </c>
      <c r="B48">
        <v>39.15</v>
      </c>
      <c r="C48" t="s">
        <v>1497</v>
      </c>
      <c r="D48" t="s">
        <v>1498</v>
      </c>
      <c r="E48" t="s">
        <v>431</v>
      </c>
      <c r="F48">
        <f>ROUND(B48*基本資料!$B$11,0)</f>
        <v>2349</v>
      </c>
      <c r="G48">
        <f>基本資料!$B$12*(IF(ISNUMBER(SEARCH("Y",C48)),1,0)+IF(ISNUMBER(SEARCH("Y",D48)),1,0)+IF(ISNUMBER(SEARCH("Y-MC",C48)),1,0))</f>
        <v>300</v>
      </c>
    </row>
    <row r="49" spans="1:7">
      <c r="A49" t="s">
        <v>71</v>
      </c>
      <c r="B49">
        <v>39.15</v>
      </c>
      <c r="C49" t="s">
        <v>1497</v>
      </c>
      <c r="D49" t="s">
        <v>1498</v>
      </c>
      <c r="E49" t="s">
        <v>432</v>
      </c>
      <c r="F49">
        <f>ROUND(B49*基本資料!$B$11,0)</f>
        <v>2349</v>
      </c>
      <c r="G49">
        <f>基本資料!$B$12*(IF(ISNUMBER(SEARCH("Y",C49)),1,0)+IF(ISNUMBER(SEARCH("Y",D49)),1,0)+IF(ISNUMBER(SEARCH("Y-MC",C49)),1,0))</f>
        <v>300</v>
      </c>
    </row>
    <row r="50" spans="1:7">
      <c r="A50" t="s">
        <v>72</v>
      </c>
      <c r="B50">
        <v>39.15</v>
      </c>
      <c r="C50" t="s">
        <v>1497</v>
      </c>
      <c r="D50" t="s">
        <v>1498</v>
      </c>
      <c r="E50" t="s">
        <v>433</v>
      </c>
      <c r="F50">
        <f>ROUND(B50*基本資料!$B$11,0)</f>
        <v>2349</v>
      </c>
      <c r="G50">
        <f>基本資料!$B$12*(IF(ISNUMBER(SEARCH("Y",C50)),1,0)+IF(ISNUMBER(SEARCH("Y",D50)),1,0)+IF(ISNUMBER(SEARCH("Y-MC",C50)),1,0))</f>
        <v>300</v>
      </c>
    </row>
    <row r="51" spans="1:7">
      <c r="A51" t="s">
        <v>73</v>
      </c>
      <c r="B51">
        <v>39.15</v>
      </c>
      <c r="C51" t="s">
        <v>1497</v>
      </c>
      <c r="D51" t="s">
        <v>1498</v>
      </c>
      <c r="E51" t="s">
        <v>434</v>
      </c>
      <c r="F51">
        <f>ROUND(B51*基本資料!$B$11,0)</f>
        <v>2349</v>
      </c>
      <c r="G51">
        <f>基本資料!$B$12*(IF(ISNUMBER(SEARCH("Y",C51)),1,0)+IF(ISNUMBER(SEARCH("Y",D51)),1,0)+IF(ISNUMBER(SEARCH("Y-MC",C51)),1,0))</f>
        <v>300</v>
      </c>
    </row>
    <row r="52" spans="1:7">
      <c r="A52" t="s">
        <v>74</v>
      </c>
      <c r="B52">
        <v>39.15</v>
      </c>
      <c r="C52" t="s">
        <v>1497</v>
      </c>
      <c r="D52" t="s">
        <v>1498</v>
      </c>
      <c r="E52" t="s">
        <v>435</v>
      </c>
      <c r="F52">
        <f>ROUND(B52*基本資料!$B$11,0)</f>
        <v>2349</v>
      </c>
      <c r="G52">
        <f>基本資料!$B$12*(IF(ISNUMBER(SEARCH("Y",C52)),1,0)+IF(ISNUMBER(SEARCH("Y",D52)),1,0)+IF(ISNUMBER(SEARCH("Y-MC",C52)),1,0))</f>
        <v>300</v>
      </c>
    </row>
    <row r="53" spans="1:7">
      <c r="A53" t="s">
        <v>75</v>
      </c>
      <c r="B53">
        <v>39.15</v>
      </c>
      <c r="C53" t="s">
        <v>1497</v>
      </c>
      <c r="D53" t="s">
        <v>1498</v>
      </c>
      <c r="E53" t="s">
        <v>436</v>
      </c>
      <c r="F53">
        <f>ROUND(B53*基本資料!$B$11,0)</f>
        <v>2349</v>
      </c>
      <c r="G53">
        <f>基本資料!$B$12*(IF(ISNUMBER(SEARCH("Y",C53)),1,0)+IF(ISNUMBER(SEARCH("Y",D53)),1,0)+IF(ISNUMBER(SEARCH("Y-MC",C53)),1,0))</f>
        <v>300</v>
      </c>
    </row>
    <row r="54" spans="1:7">
      <c r="A54" t="s">
        <v>76</v>
      </c>
      <c r="B54">
        <v>39.15</v>
      </c>
      <c r="C54" t="s">
        <v>1497</v>
      </c>
      <c r="D54" t="s">
        <v>1498</v>
      </c>
      <c r="E54" t="s">
        <v>437</v>
      </c>
      <c r="F54">
        <f>ROUND(B54*基本資料!$B$11,0)</f>
        <v>2349</v>
      </c>
      <c r="G54">
        <f>基本資料!$B$12*(IF(ISNUMBER(SEARCH("Y",C54)),1,0)+IF(ISNUMBER(SEARCH("Y",D54)),1,0)+IF(ISNUMBER(SEARCH("Y-MC",C54)),1,0))</f>
        <v>300</v>
      </c>
    </row>
    <row r="55" spans="1:7">
      <c r="A55" t="s">
        <v>77</v>
      </c>
      <c r="B55">
        <v>39.15</v>
      </c>
      <c r="C55" t="s">
        <v>1497</v>
      </c>
      <c r="D55" t="s">
        <v>1498</v>
      </c>
      <c r="E55" t="s">
        <v>438</v>
      </c>
      <c r="F55">
        <f>ROUND(B55*基本資料!$B$11,0)</f>
        <v>2349</v>
      </c>
      <c r="G55">
        <f>基本資料!$B$12*(IF(ISNUMBER(SEARCH("Y",C55)),1,0)+IF(ISNUMBER(SEARCH("Y",D55)),1,0)+IF(ISNUMBER(SEARCH("Y-MC",C55)),1,0))</f>
        <v>300</v>
      </c>
    </row>
    <row r="56" spans="1:7">
      <c r="A56" t="s">
        <v>78</v>
      </c>
      <c r="B56">
        <v>39.15</v>
      </c>
      <c r="C56" t="s">
        <v>1497</v>
      </c>
      <c r="D56" t="s">
        <v>1498</v>
      </c>
      <c r="E56" t="s">
        <v>439</v>
      </c>
      <c r="F56">
        <f>ROUND(B56*基本資料!$B$11,0)</f>
        <v>2349</v>
      </c>
      <c r="G56">
        <f>基本資料!$B$12*(IF(ISNUMBER(SEARCH("Y",C56)),1,0)+IF(ISNUMBER(SEARCH("Y",D56)),1,0)+IF(ISNUMBER(SEARCH("Y-MC",C56)),1,0))</f>
        <v>300</v>
      </c>
    </row>
    <row r="57" spans="1:7">
      <c r="A57" t="s">
        <v>79</v>
      </c>
      <c r="B57">
        <v>39.15</v>
      </c>
      <c r="C57" t="s">
        <v>1497</v>
      </c>
      <c r="D57" t="s">
        <v>1498</v>
      </c>
      <c r="E57" t="s">
        <v>440</v>
      </c>
      <c r="F57">
        <f>ROUND(B57*基本資料!$B$11,0)</f>
        <v>2349</v>
      </c>
      <c r="G57">
        <f>基本資料!$B$12*(IF(ISNUMBER(SEARCH("Y",C57)),1,0)+IF(ISNUMBER(SEARCH("Y",D57)),1,0)+IF(ISNUMBER(SEARCH("Y-MC",C57)),1,0))</f>
        <v>300</v>
      </c>
    </row>
    <row r="58" spans="1:7">
      <c r="A58" t="s">
        <v>80</v>
      </c>
      <c r="B58">
        <v>39.15</v>
      </c>
      <c r="C58" t="s">
        <v>1497</v>
      </c>
      <c r="D58" t="s">
        <v>1498</v>
      </c>
      <c r="E58" t="s">
        <v>441</v>
      </c>
      <c r="F58">
        <f>ROUND(B58*基本資料!$B$11,0)</f>
        <v>2349</v>
      </c>
      <c r="G58">
        <f>基本資料!$B$12*(IF(ISNUMBER(SEARCH("Y",C58)),1,0)+IF(ISNUMBER(SEARCH("Y",D58)),1,0)+IF(ISNUMBER(SEARCH("Y-MC",C58)),1,0))</f>
        <v>300</v>
      </c>
    </row>
    <row r="59" spans="1:7">
      <c r="A59" t="s">
        <v>81</v>
      </c>
      <c r="B59">
        <v>39.15</v>
      </c>
      <c r="C59" t="s">
        <v>1497</v>
      </c>
      <c r="D59" t="s">
        <v>1498</v>
      </c>
      <c r="E59" t="s">
        <v>442</v>
      </c>
      <c r="F59">
        <f>ROUND(B59*基本資料!$B$11,0)</f>
        <v>2349</v>
      </c>
      <c r="G59">
        <f>基本資料!$B$12*(IF(ISNUMBER(SEARCH("Y",C59)),1,0)+IF(ISNUMBER(SEARCH("Y",D59)),1,0)+IF(ISNUMBER(SEARCH("Y-MC",C59)),1,0))</f>
        <v>300</v>
      </c>
    </row>
    <row r="60" spans="1:7">
      <c r="A60" t="s">
        <v>82</v>
      </c>
      <c r="B60">
        <v>39.15</v>
      </c>
      <c r="C60" t="s">
        <v>1497</v>
      </c>
      <c r="D60" t="s">
        <v>1498</v>
      </c>
      <c r="E60" t="s">
        <v>443</v>
      </c>
      <c r="F60">
        <f>ROUND(B60*基本資料!$B$11,0)</f>
        <v>2349</v>
      </c>
      <c r="G60">
        <f>基本資料!$B$12*(IF(ISNUMBER(SEARCH("Y",C60)),1,0)+IF(ISNUMBER(SEARCH("Y",D60)),1,0)+IF(ISNUMBER(SEARCH("Y-MC",C60)),1,0))</f>
        <v>300</v>
      </c>
    </row>
    <row r="61" spans="1:7">
      <c r="A61" t="s">
        <v>83</v>
      </c>
      <c r="B61">
        <v>39.15</v>
      </c>
      <c r="C61" t="s">
        <v>1497</v>
      </c>
      <c r="D61" t="s">
        <v>1498</v>
      </c>
      <c r="E61" t="s">
        <v>444</v>
      </c>
      <c r="F61">
        <f>ROUND(B61*基本資料!$B$11,0)</f>
        <v>2349</v>
      </c>
      <c r="G61">
        <f>基本資料!$B$12*(IF(ISNUMBER(SEARCH("Y",C61)),1,0)+IF(ISNUMBER(SEARCH("Y",D61)),1,0)+IF(ISNUMBER(SEARCH("Y-MC",C61)),1,0))</f>
        <v>300</v>
      </c>
    </row>
    <row r="62" spans="1:7">
      <c r="A62" t="s">
        <v>84</v>
      </c>
      <c r="B62">
        <v>40.71</v>
      </c>
      <c r="C62" t="s">
        <v>1497</v>
      </c>
      <c r="D62" t="s">
        <v>1497</v>
      </c>
      <c r="E62" t="s">
        <v>445</v>
      </c>
      <c r="F62">
        <f>ROUND(B62*基本資料!$B$11,0)</f>
        <v>2443</v>
      </c>
      <c r="G62">
        <f>基本資料!$B$12*(IF(ISNUMBER(SEARCH("Y",C62)),1,0)+IF(ISNUMBER(SEARCH("Y",D62)),1,0)+IF(ISNUMBER(SEARCH("Y-MC",C62)),1,0))</f>
        <v>600</v>
      </c>
    </row>
    <row r="63" spans="1:7">
      <c r="A63" t="s">
        <v>12</v>
      </c>
      <c r="B63">
        <v>53.38</v>
      </c>
      <c r="C63" t="s">
        <v>1497</v>
      </c>
      <c r="D63" t="s">
        <v>1498</v>
      </c>
      <c r="E63" t="s">
        <v>446</v>
      </c>
      <c r="F63">
        <f>ROUND(B63*基本資料!$B$11,0)</f>
        <v>3203</v>
      </c>
      <c r="G63">
        <f>基本資料!$B$12*(IF(ISNUMBER(SEARCH("Y",C63)),1,0)+IF(ISNUMBER(SEARCH("Y",D63)),1,0)+IF(ISNUMBER(SEARCH("Y-MC",C63)),1,0))</f>
        <v>300</v>
      </c>
    </row>
    <row r="64" spans="1:7">
      <c r="A64" t="s">
        <v>85</v>
      </c>
      <c r="B64">
        <v>53.38</v>
      </c>
      <c r="C64" t="s">
        <v>1497</v>
      </c>
      <c r="D64" t="s">
        <v>1498</v>
      </c>
      <c r="E64" t="s">
        <v>447</v>
      </c>
      <c r="F64">
        <f>ROUND(B64*基本資料!$B$11,0)</f>
        <v>3203</v>
      </c>
      <c r="G64">
        <f>基本資料!$B$12*(IF(ISNUMBER(SEARCH("Y",C64)),1,0)+IF(ISNUMBER(SEARCH("Y",D64)),1,0)+IF(ISNUMBER(SEARCH("Y-MC",C64)),1,0))</f>
        <v>300</v>
      </c>
    </row>
    <row r="65" spans="1:7">
      <c r="A65" t="s">
        <v>86</v>
      </c>
      <c r="B65">
        <v>53.38</v>
      </c>
      <c r="C65" t="s">
        <v>1497</v>
      </c>
      <c r="D65" t="s">
        <v>1498</v>
      </c>
      <c r="E65" t="s">
        <v>448</v>
      </c>
      <c r="F65">
        <f>ROUND(B65*基本資料!$B$11,0)</f>
        <v>3203</v>
      </c>
      <c r="G65">
        <f>基本資料!$B$12*(IF(ISNUMBER(SEARCH("Y",C65)),1,0)+IF(ISNUMBER(SEARCH("Y",D65)),1,0)+IF(ISNUMBER(SEARCH("Y-MC",C65)),1,0))</f>
        <v>300</v>
      </c>
    </row>
    <row r="66" spans="1:7">
      <c r="A66" t="s">
        <v>87</v>
      </c>
      <c r="B66">
        <v>53.38</v>
      </c>
      <c r="C66" t="s">
        <v>1497</v>
      </c>
      <c r="D66" t="s">
        <v>1498</v>
      </c>
      <c r="E66" t="s">
        <v>449</v>
      </c>
      <c r="F66">
        <f>ROUND(B66*基本資料!$B$11,0)</f>
        <v>3203</v>
      </c>
      <c r="G66">
        <f>基本資料!$B$12*(IF(ISNUMBER(SEARCH("Y",C66)),1,0)+IF(ISNUMBER(SEARCH("Y",D66)),1,0)+IF(ISNUMBER(SEARCH("Y-MC",C66)),1,0))</f>
        <v>300</v>
      </c>
    </row>
    <row r="67" spans="1:7">
      <c r="A67" t="s">
        <v>88</v>
      </c>
      <c r="B67">
        <v>53.38</v>
      </c>
      <c r="C67" t="s">
        <v>1497</v>
      </c>
      <c r="D67" t="s">
        <v>1498</v>
      </c>
      <c r="E67" t="s">
        <v>450</v>
      </c>
      <c r="F67">
        <f>ROUND(B67*基本資料!$B$11,0)</f>
        <v>3203</v>
      </c>
      <c r="G67">
        <f>基本資料!$B$12*(IF(ISNUMBER(SEARCH("Y",C67)),1,0)+IF(ISNUMBER(SEARCH("Y",D67)),1,0)+IF(ISNUMBER(SEARCH("Y-MC",C67)),1,0))</f>
        <v>300</v>
      </c>
    </row>
    <row r="68" spans="1:7">
      <c r="A68" t="s">
        <v>89</v>
      </c>
      <c r="B68">
        <v>53.38</v>
      </c>
      <c r="C68" t="s">
        <v>1497</v>
      </c>
      <c r="D68" t="s">
        <v>1498</v>
      </c>
      <c r="E68" t="s">
        <v>451</v>
      </c>
      <c r="F68">
        <f>ROUND(B68*基本資料!$B$11,0)</f>
        <v>3203</v>
      </c>
      <c r="G68">
        <f>基本資料!$B$12*(IF(ISNUMBER(SEARCH("Y",C68)),1,0)+IF(ISNUMBER(SEARCH("Y",D68)),1,0)+IF(ISNUMBER(SEARCH("Y-MC",C68)),1,0))</f>
        <v>300</v>
      </c>
    </row>
    <row r="69" spans="1:7">
      <c r="A69" t="s">
        <v>90</v>
      </c>
      <c r="B69">
        <v>53.38</v>
      </c>
      <c r="C69" t="s">
        <v>1497</v>
      </c>
      <c r="D69" t="s">
        <v>1497</v>
      </c>
      <c r="E69" t="s">
        <v>452</v>
      </c>
      <c r="F69">
        <f>ROUND(B69*基本資料!$B$11,0)</f>
        <v>3203</v>
      </c>
      <c r="G69">
        <f>基本資料!$B$12*(IF(ISNUMBER(SEARCH("Y",C69)),1,0)+IF(ISNUMBER(SEARCH("Y",D69)),1,0)+IF(ISNUMBER(SEARCH("Y-MC",C69)),1,0))</f>
        <v>600</v>
      </c>
    </row>
    <row r="70" spans="1:7">
      <c r="A70" t="s">
        <v>91</v>
      </c>
      <c r="B70">
        <v>53.38</v>
      </c>
      <c r="C70" t="s">
        <v>1497</v>
      </c>
      <c r="D70" t="s">
        <v>1498</v>
      </c>
      <c r="E70" t="s">
        <v>453</v>
      </c>
      <c r="F70">
        <f>ROUND(B70*基本資料!$B$11,0)</f>
        <v>3203</v>
      </c>
      <c r="G70">
        <f>基本資料!$B$12*(IF(ISNUMBER(SEARCH("Y",C70)),1,0)+IF(ISNUMBER(SEARCH("Y",D70)),1,0)+IF(ISNUMBER(SEARCH("Y-MC",C70)),1,0))</f>
        <v>300</v>
      </c>
    </row>
    <row r="71" spans="1:7">
      <c r="A71" t="s">
        <v>92</v>
      </c>
      <c r="B71">
        <v>53.38</v>
      </c>
      <c r="C71" t="s">
        <v>1497</v>
      </c>
      <c r="D71" t="s">
        <v>1498</v>
      </c>
      <c r="E71" t="s">
        <v>454</v>
      </c>
      <c r="F71">
        <f>ROUND(B71*基本資料!$B$11,0)</f>
        <v>3203</v>
      </c>
      <c r="G71">
        <f>基本資料!$B$12*(IF(ISNUMBER(SEARCH("Y",C71)),1,0)+IF(ISNUMBER(SEARCH("Y",D71)),1,0)+IF(ISNUMBER(SEARCH("Y-MC",C71)),1,0))</f>
        <v>300</v>
      </c>
    </row>
    <row r="72" spans="1:7">
      <c r="A72" t="s">
        <v>93</v>
      </c>
      <c r="B72">
        <v>53.38</v>
      </c>
      <c r="C72" t="s">
        <v>1497</v>
      </c>
      <c r="D72" t="s">
        <v>1498</v>
      </c>
      <c r="E72" t="s">
        <v>455</v>
      </c>
      <c r="F72">
        <f>ROUND(B72*基本資料!$B$11,0)</f>
        <v>3203</v>
      </c>
      <c r="G72">
        <f>基本資料!$B$12*(IF(ISNUMBER(SEARCH("Y",C72)),1,0)+IF(ISNUMBER(SEARCH("Y",D72)),1,0)+IF(ISNUMBER(SEARCH("Y-MC",C72)),1,0))</f>
        <v>300</v>
      </c>
    </row>
    <row r="73" spans="1:7">
      <c r="A73" t="s">
        <v>94</v>
      </c>
      <c r="B73">
        <v>53.38</v>
      </c>
      <c r="C73" t="s">
        <v>1497</v>
      </c>
      <c r="D73" t="s">
        <v>1498</v>
      </c>
      <c r="E73" t="s">
        <v>456</v>
      </c>
      <c r="F73">
        <f>ROUND(B73*基本資料!$B$11,0)</f>
        <v>3203</v>
      </c>
      <c r="G73">
        <f>基本資料!$B$12*(IF(ISNUMBER(SEARCH("Y",C73)),1,0)+IF(ISNUMBER(SEARCH("Y",D73)),1,0)+IF(ISNUMBER(SEARCH("Y-MC",C73)),1,0))</f>
        <v>300</v>
      </c>
    </row>
    <row r="74" spans="1:7">
      <c r="A74" t="s">
        <v>95</v>
      </c>
      <c r="B74">
        <v>53.38</v>
      </c>
      <c r="C74" t="s">
        <v>1497</v>
      </c>
      <c r="D74" t="s">
        <v>1498</v>
      </c>
      <c r="E74" t="s">
        <v>457</v>
      </c>
      <c r="F74">
        <f>ROUND(B74*基本資料!$B$11,0)</f>
        <v>3203</v>
      </c>
      <c r="G74">
        <f>基本資料!$B$12*(IF(ISNUMBER(SEARCH("Y",C74)),1,0)+IF(ISNUMBER(SEARCH("Y",D74)),1,0)+IF(ISNUMBER(SEARCH("Y-MC",C74)),1,0))</f>
        <v>300</v>
      </c>
    </row>
    <row r="75" spans="1:7">
      <c r="A75" t="s">
        <v>96</v>
      </c>
      <c r="B75">
        <v>53.38</v>
      </c>
      <c r="C75" t="s">
        <v>1497</v>
      </c>
      <c r="D75" t="s">
        <v>1498</v>
      </c>
      <c r="E75" t="s">
        <v>458</v>
      </c>
      <c r="F75">
        <f>ROUND(B75*基本資料!$B$11,0)</f>
        <v>3203</v>
      </c>
      <c r="G75">
        <f>基本資料!$B$12*(IF(ISNUMBER(SEARCH("Y",C75)),1,0)+IF(ISNUMBER(SEARCH("Y",D75)),1,0)+IF(ISNUMBER(SEARCH("Y-MC",C75)),1,0))</f>
        <v>300</v>
      </c>
    </row>
    <row r="76" spans="1:7">
      <c r="A76" t="s">
        <v>97</v>
      </c>
      <c r="B76">
        <v>53.38</v>
      </c>
      <c r="C76" t="s">
        <v>1497</v>
      </c>
      <c r="D76" t="s">
        <v>1498</v>
      </c>
      <c r="E76" t="s">
        <v>459</v>
      </c>
      <c r="F76">
        <f>ROUND(B76*基本資料!$B$11,0)</f>
        <v>3203</v>
      </c>
      <c r="G76">
        <f>基本資料!$B$12*(IF(ISNUMBER(SEARCH("Y",C76)),1,0)+IF(ISNUMBER(SEARCH("Y",D76)),1,0)+IF(ISNUMBER(SEARCH("Y-MC",C76)),1,0))</f>
        <v>300</v>
      </c>
    </row>
    <row r="77" spans="1:7">
      <c r="A77" t="s">
        <v>98</v>
      </c>
      <c r="B77">
        <v>34.74</v>
      </c>
      <c r="C77" t="s">
        <v>1497</v>
      </c>
      <c r="D77" t="s">
        <v>1497</v>
      </c>
      <c r="E77" t="s">
        <v>460</v>
      </c>
      <c r="F77">
        <f>ROUND(B77*基本資料!$B$11,0)</f>
        <v>2084</v>
      </c>
      <c r="G77">
        <f>基本資料!$B$12*(IF(ISNUMBER(SEARCH("Y",C77)),1,0)+IF(ISNUMBER(SEARCH("Y",D77)),1,0)+IF(ISNUMBER(SEARCH("Y-MC",C77)),1,0))</f>
        <v>600</v>
      </c>
    </row>
    <row r="78" spans="1:7">
      <c r="A78" t="s">
        <v>6</v>
      </c>
      <c r="B78">
        <v>46.59</v>
      </c>
      <c r="C78" t="s">
        <v>1497</v>
      </c>
      <c r="D78" t="s">
        <v>1498</v>
      </c>
      <c r="E78" t="s">
        <v>461</v>
      </c>
      <c r="F78">
        <f>ROUND(B78*基本資料!$B$11,0)</f>
        <v>2795</v>
      </c>
      <c r="G78">
        <f>基本資料!$B$12*(IF(ISNUMBER(SEARCH("Y",C78)),1,0)+IF(ISNUMBER(SEARCH("Y",D78)),1,0)+IF(ISNUMBER(SEARCH("Y-MC",C78)),1,0))</f>
        <v>300</v>
      </c>
    </row>
    <row r="79" spans="1:7">
      <c r="A79" t="s">
        <v>99</v>
      </c>
      <c r="B79">
        <v>46.59</v>
      </c>
      <c r="C79" t="s">
        <v>1497</v>
      </c>
      <c r="D79" t="s">
        <v>1498</v>
      </c>
      <c r="E79" t="s">
        <v>462</v>
      </c>
      <c r="F79">
        <f>ROUND(B79*基本資料!$B$11,0)</f>
        <v>2795</v>
      </c>
      <c r="G79">
        <f>基本資料!$B$12*(IF(ISNUMBER(SEARCH("Y",C79)),1,0)+IF(ISNUMBER(SEARCH("Y",D79)),1,0)+IF(ISNUMBER(SEARCH("Y-MC",C79)),1,0))</f>
        <v>300</v>
      </c>
    </row>
    <row r="80" spans="1:7">
      <c r="A80" t="s">
        <v>100</v>
      </c>
      <c r="B80">
        <v>46.59</v>
      </c>
      <c r="C80" t="s">
        <v>1497</v>
      </c>
      <c r="D80" t="s">
        <v>1498</v>
      </c>
      <c r="E80" t="s">
        <v>463</v>
      </c>
      <c r="F80">
        <f>ROUND(B80*基本資料!$B$11,0)</f>
        <v>2795</v>
      </c>
      <c r="G80">
        <f>基本資料!$B$12*(IF(ISNUMBER(SEARCH("Y",C80)),1,0)+IF(ISNUMBER(SEARCH("Y",D80)),1,0)+IF(ISNUMBER(SEARCH("Y-MC",C80)),1,0))</f>
        <v>300</v>
      </c>
    </row>
    <row r="81" spans="1:7">
      <c r="A81" t="s">
        <v>101</v>
      </c>
      <c r="B81">
        <v>46.59</v>
      </c>
      <c r="C81" t="s">
        <v>1497</v>
      </c>
      <c r="D81" t="s">
        <v>1498</v>
      </c>
      <c r="E81" t="s">
        <v>464</v>
      </c>
      <c r="F81">
        <f>ROUND(B81*基本資料!$B$11,0)</f>
        <v>2795</v>
      </c>
      <c r="G81">
        <f>基本資料!$B$12*(IF(ISNUMBER(SEARCH("Y",C81)),1,0)+IF(ISNUMBER(SEARCH("Y",D81)),1,0)+IF(ISNUMBER(SEARCH("Y-MC",C81)),1,0))</f>
        <v>300</v>
      </c>
    </row>
    <row r="82" spans="1:7">
      <c r="A82" t="s">
        <v>102</v>
      </c>
      <c r="B82">
        <v>46.59</v>
      </c>
      <c r="C82" t="s">
        <v>1497</v>
      </c>
      <c r="D82" t="s">
        <v>1498</v>
      </c>
      <c r="E82" t="s">
        <v>465</v>
      </c>
      <c r="F82">
        <f>ROUND(B82*基本資料!$B$11,0)</f>
        <v>2795</v>
      </c>
      <c r="G82">
        <f>基本資料!$B$12*(IF(ISNUMBER(SEARCH("Y",C82)),1,0)+IF(ISNUMBER(SEARCH("Y",D82)),1,0)+IF(ISNUMBER(SEARCH("Y-MC",C82)),1,0))</f>
        <v>300</v>
      </c>
    </row>
    <row r="83" spans="1:7">
      <c r="A83" t="s">
        <v>103</v>
      </c>
      <c r="B83">
        <v>46.59</v>
      </c>
      <c r="C83" t="s">
        <v>1497</v>
      </c>
      <c r="D83" t="s">
        <v>1498</v>
      </c>
      <c r="E83" t="s">
        <v>466</v>
      </c>
      <c r="F83">
        <f>ROUND(B83*基本資料!$B$11,0)</f>
        <v>2795</v>
      </c>
      <c r="G83">
        <f>基本資料!$B$12*(IF(ISNUMBER(SEARCH("Y",C83)),1,0)+IF(ISNUMBER(SEARCH("Y",D83)),1,0)+IF(ISNUMBER(SEARCH("Y-MC",C83)),1,0))</f>
        <v>300</v>
      </c>
    </row>
    <row r="84" spans="1:7">
      <c r="A84" t="s">
        <v>104</v>
      </c>
      <c r="B84">
        <v>46.59</v>
      </c>
      <c r="C84" t="s">
        <v>1497</v>
      </c>
      <c r="D84" t="s">
        <v>1498</v>
      </c>
      <c r="E84" t="s">
        <v>467</v>
      </c>
      <c r="F84">
        <f>ROUND(B84*基本資料!$B$11,0)</f>
        <v>2795</v>
      </c>
      <c r="G84">
        <f>基本資料!$B$12*(IF(ISNUMBER(SEARCH("Y",C84)),1,0)+IF(ISNUMBER(SEARCH("Y",D84)),1,0)+IF(ISNUMBER(SEARCH("Y-MC",C84)),1,0))</f>
        <v>300</v>
      </c>
    </row>
    <row r="85" spans="1:7">
      <c r="A85" t="s">
        <v>105</v>
      </c>
      <c r="B85">
        <v>46.59</v>
      </c>
      <c r="C85" t="s">
        <v>1497</v>
      </c>
      <c r="D85" t="s">
        <v>1498</v>
      </c>
      <c r="E85" t="s">
        <v>468</v>
      </c>
      <c r="F85">
        <f>ROUND(B85*基本資料!$B$11,0)</f>
        <v>2795</v>
      </c>
      <c r="G85">
        <f>基本資料!$B$12*(IF(ISNUMBER(SEARCH("Y",C85)),1,0)+IF(ISNUMBER(SEARCH("Y",D85)),1,0)+IF(ISNUMBER(SEARCH("Y-MC",C85)),1,0))</f>
        <v>300</v>
      </c>
    </row>
    <row r="86" spans="1:7">
      <c r="A86" t="s">
        <v>106</v>
      </c>
      <c r="B86">
        <v>46.59</v>
      </c>
      <c r="C86" t="s">
        <v>1497</v>
      </c>
      <c r="D86" t="s">
        <v>1498</v>
      </c>
      <c r="E86" t="s">
        <v>469</v>
      </c>
      <c r="F86">
        <f>ROUND(B86*基本資料!$B$11,0)</f>
        <v>2795</v>
      </c>
      <c r="G86">
        <f>基本資料!$B$12*(IF(ISNUMBER(SEARCH("Y",C86)),1,0)+IF(ISNUMBER(SEARCH("Y",D86)),1,0)+IF(ISNUMBER(SEARCH("Y-MC",C86)),1,0))</f>
        <v>300</v>
      </c>
    </row>
    <row r="87" spans="1:7">
      <c r="A87" t="s">
        <v>107</v>
      </c>
      <c r="B87">
        <v>46.59</v>
      </c>
      <c r="C87" t="s">
        <v>1497</v>
      </c>
      <c r="D87" t="s">
        <v>1497</v>
      </c>
      <c r="E87" t="s">
        <v>470</v>
      </c>
      <c r="F87">
        <f>ROUND(B87*基本資料!$B$11,0)</f>
        <v>2795</v>
      </c>
      <c r="G87">
        <f>基本資料!$B$12*(IF(ISNUMBER(SEARCH("Y",C87)),1,0)+IF(ISNUMBER(SEARCH("Y",D87)),1,0)+IF(ISNUMBER(SEARCH("Y-MC",C87)),1,0))</f>
        <v>600</v>
      </c>
    </row>
    <row r="88" spans="1:7">
      <c r="A88" t="s">
        <v>108</v>
      </c>
      <c r="B88">
        <v>46.59</v>
      </c>
      <c r="C88" t="s">
        <v>1497</v>
      </c>
      <c r="D88" t="s">
        <v>1498</v>
      </c>
      <c r="E88" t="s">
        <v>471</v>
      </c>
      <c r="F88">
        <f>ROUND(B88*基本資料!$B$11,0)</f>
        <v>2795</v>
      </c>
      <c r="G88">
        <f>基本資料!$B$12*(IF(ISNUMBER(SEARCH("Y",C88)),1,0)+IF(ISNUMBER(SEARCH("Y",D88)),1,0)+IF(ISNUMBER(SEARCH("Y-MC",C88)),1,0))</f>
        <v>300</v>
      </c>
    </row>
    <row r="89" spans="1:7">
      <c r="A89" t="s">
        <v>109</v>
      </c>
      <c r="B89">
        <v>46.59</v>
      </c>
      <c r="C89" t="s">
        <v>1497</v>
      </c>
      <c r="D89" t="s">
        <v>1498</v>
      </c>
      <c r="E89" t="s">
        <v>472</v>
      </c>
      <c r="F89">
        <f>ROUND(B89*基本資料!$B$11,0)</f>
        <v>2795</v>
      </c>
      <c r="G89">
        <f>基本資料!$B$12*(IF(ISNUMBER(SEARCH("Y",C89)),1,0)+IF(ISNUMBER(SEARCH("Y",D89)),1,0)+IF(ISNUMBER(SEARCH("Y-MC",C89)),1,0))</f>
        <v>300</v>
      </c>
    </row>
    <row r="90" spans="1:7">
      <c r="A90" t="s">
        <v>110</v>
      </c>
      <c r="B90">
        <v>46.59</v>
      </c>
      <c r="C90" t="s">
        <v>1497</v>
      </c>
      <c r="D90" t="s">
        <v>1498</v>
      </c>
      <c r="E90" t="s">
        <v>473</v>
      </c>
      <c r="F90">
        <f>ROUND(B90*基本資料!$B$11,0)</f>
        <v>2795</v>
      </c>
      <c r="G90">
        <f>基本資料!$B$12*(IF(ISNUMBER(SEARCH("Y",C90)),1,0)+IF(ISNUMBER(SEARCH("Y",D90)),1,0)+IF(ISNUMBER(SEARCH("Y-MC",C90)),1,0))</f>
        <v>300</v>
      </c>
    </row>
    <row r="91" spans="1:7">
      <c r="A91" t="s">
        <v>111</v>
      </c>
      <c r="B91">
        <v>46.59</v>
      </c>
      <c r="C91" t="s">
        <v>1497</v>
      </c>
      <c r="D91" t="s">
        <v>1497</v>
      </c>
      <c r="E91" t="s">
        <v>474</v>
      </c>
      <c r="F91">
        <f>ROUND(B91*基本資料!$B$11,0)</f>
        <v>2795</v>
      </c>
      <c r="G91">
        <f>基本資料!$B$12*(IF(ISNUMBER(SEARCH("Y",C91)),1,0)+IF(ISNUMBER(SEARCH("Y",D91)),1,0)+IF(ISNUMBER(SEARCH("Y-MC",C91)),1,0))</f>
        <v>600</v>
      </c>
    </row>
    <row r="92" spans="1:7">
      <c r="A92" t="s">
        <v>112</v>
      </c>
      <c r="B92">
        <v>33.49</v>
      </c>
      <c r="C92" t="s">
        <v>1497</v>
      </c>
      <c r="D92" t="s">
        <v>1498</v>
      </c>
      <c r="E92" t="s">
        <v>475</v>
      </c>
      <c r="F92">
        <f>ROUND(B92*基本資料!$B$11,0)</f>
        <v>2009</v>
      </c>
      <c r="G92">
        <f>基本資料!$B$12*(IF(ISNUMBER(SEARCH("Y",C92)),1,0)+IF(ISNUMBER(SEARCH("Y",D92)),1,0)+IF(ISNUMBER(SEARCH("Y-MC",C92)),1,0))</f>
        <v>300</v>
      </c>
    </row>
    <row r="93" spans="1:7">
      <c r="A93" t="s">
        <v>113</v>
      </c>
      <c r="B93">
        <v>40.909999999999997</v>
      </c>
      <c r="C93" t="s">
        <v>1497</v>
      </c>
      <c r="D93" t="s">
        <v>1498</v>
      </c>
      <c r="E93" t="s">
        <v>476</v>
      </c>
      <c r="F93">
        <f>ROUND(B93*基本資料!$B$11,0)</f>
        <v>2455</v>
      </c>
      <c r="G93">
        <f>基本資料!$B$12*(IF(ISNUMBER(SEARCH("Y",C93)),1,0)+IF(ISNUMBER(SEARCH("Y",D93)),1,0)+IF(ISNUMBER(SEARCH("Y-MC",C93)),1,0))</f>
        <v>300</v>
      </c>
    </row>
    <row r="94" spans="1:7">
      <c r="A94" t="s">
        <v>114</v>
      </c>
      <c r="B94">
        <v>40.909999999999997</v>
      </c>
      <c r="C94" t="s">
        <v>1497</v>
      </c>
      <c r="D94" t="s">
        <v>1498</v>
      </c>
      <c r="E94" t="s">
        <v>477</v>
      </c>
      <c r="F94">
        <f>ROUND(B94*基本資料!$B$11,0)</f>
        <v>2455</v>
      </c>
      <c r="G94">
        <f>基本資料!$B$12*(IF(ISNUMBER(SEARCH("Y",C94)),1,0)+IF(ISNUMBER(SEARCH("Y",D94)),1,0)+IF(ISNUMBER(SEARCH("Y-MC",C94)),1,0))</f>
        <v>300</v>
      </c>
    </row>
    <row r="95" spans="1:7">
      <c r="A95" t="s">
        <v>115</v>
      </c>
      <c r="B95">
        <v>40.909999999999997</v>
      </c>
      <c r="C95" t="s">
        <v>1497</v>
      </c>
      <c r="D95" t="s">
        <v>1498</v>
      </c>
      <c r="E95" t="s">
        <v>478</v>
      </c>
      <c r="F95">
        <f>ROUND(B95*基本資料!$B$11,0)</f>
        <v>2455</v>
      </c>
      <c r="G95">
        <f>基本資料!$B$12*(IF(ISNUMBER(SEARCH("Y",C95)),1,0)+IF(ISNUMBER(SEARCH("Y",D95)),1,0)+IF(ISNUMBER(SEARCH("Y-MC",C95)),1,0))</f>
        <v>300</v>
      </c>
    </row>
    <row r="96" spans="1:7">
      <c r="A96" t="s">
        <v>116</v>
      </c>
      <c r="B96">
        <v>40.909999999999997</v>
      </c>
      <c r="C96" t="s">
        <v>1497</v>
      </c>
      <c r="D96" t="s">
        <v>1498</v>
      </c>
      <c r="E96" t="s">
        <v>479</v>
      </c>
      <c r="F96">
        <f>ROUND(B96*基本資料!$B$11,0)</f>
        <v>2455</v>
      </c>
      <c r="G96">
        <f>基本資料!$B$12*(IF(ISNUMBER(SEARCH("Y",C96)),1,0)+IF(ISNUMBER(SEARCH("Y",D96)),1,0)+IF(ISNUMBER(SEARCH("Y-MC",C96)),1,0))</f>
        <v>300</v>
      </c>
    </row>
    <row r="97" spans="1:7">
      <c r="A97" t="s">
        <v>117</v>
      </c>
      <c r="B97">
        <v>40.909999999999997</v>
      </c>
      <c r="C97" t="s">
        <v>1497</v>
      </c>
      <c r="D97" t="s">
        <v>1498</v>
      </c>
      <c r="E97" t="s">
        <v>480</v>
      </c>
      <c r="F97">
        <f>ROUND(B97*基本資料!$B$11,0)</f>
        <v>2455</v>
      </c>
      <c r="G97">
        <f>基本資料!$B$12*(IF(ISNUMBER(SEARCH("Y",C97)),1,0)+IF(ISNUMBER(SEARCH("Y",D97)),1,0)+IF(ISNUMBER(SEARCH("Y-MC",C97)),1,0))</f>
        <v>300</v>
      </c>
    </row>
    <row r="98" spans="1:7">
      <c r="A98" t="s">
        <v>118</v>
      </c>
      <c r="B98">
        <v>40.909999999999997</v>
      </c>
      <c r="C98" t="s">
        <v>1497</v>
      </c>
      <c r="D98" t="s">
        <v>1498</v>
      </c>
      <c r="E98" t="s">
        <v>481</v>
      </c>
      <c r="F98">
        <f>ROUND(B98*基本資料!$B$11,0)</f>
        <v>2455</v>
      </c>
      <c r="G98">
        <f>基本資料!$B$12*(IF(ISNUMBER(SEARCH("Y",C98)),1,0)+IF(ISNUMBER(SEARCH("Y",D98)),1,0)+IF(ISNUMBER(SEARCH("Y-MC",C98)),1,0))</f>
        <v>300</v>
      </c>
    </row>
    <row r="99" spans="1:7">
      <c r="A99" t="s">
        <v>119</v>
      </c>
      <c r="B99">
        <v>40.909999999999997</v>
      </c>
      <c r="C99" t="s">
        <v>1497</v>
      </c>
      <c r="D99" t="s">
        <v>1498</v>
      </c>
      <c r="E99" t="s">
        <v>482</v>
      </c>
      <c r="F99">
        <f>ROUND(B99*基本資料!$B$11,0)</f>
        <v>2455</v>
      </c>
      <c r="G99">
        <f>基本資料!$B$12*(IF(ISNUMBER(SEARCH("Y",C99)),1,0)+IF(ISNUMBER(SEARCH("Y",D99)),1,0)+IF(ISNUMBER(SEARCH("Y-MC",C99)),1,0))</f>
        <v>300</v>
      </c>
    </row>
    <row r="100" spans="1:7">
      <c r="A100" t="s">
        <v>120</v>
      </c>
      <c r="B100">
        <v>40.909999999999997</v>
      </c>
      <c r="C100" t="s">
        <v>1497</v>
      </c>
      <c r="D100" t="s">
        <v>1498</v>
      </c>
      <c r="E100" t="s">
        <v>483</v>
      </c>
      <c r="F100">
        <f>ROUND(B100*基本資料!$B$11,0)</f>
        <v>2455</v>
      </c>
      <c r="G100">
        <f>基本資料!$B$12*(IF(ISNUMBER(SEARCH("Y",C100)),1,0)+IF(ISNUMBER(SEARCH("Y",D100)),1,0)+IF(ISNUMBER(SEARCH("Y-MC",C100)),1,0))</f>
        <v>300</v>
      </c>
    </row>
    <row r="101" spans="1:7">
      <c r="A101" t="s">
        <v>121</v>
      </c>
      <c r="B101">
        <v>40.909999999999997</v>
      </c>
      <c r="C101" t="s">
        <v>1497</v>
      </c>
      <c r="D101" t="s">
        <v>1498</v>
      </c>
      <c r="E101" t="s">
        <v>484</v>
      </c>
      <c r="F101">
        <f>ROUND(B101*基本資料!$B$11,0)</f>
        <v>2455</v>
      </c>
      <c r="G101">
        <f>基本資料!$B$12*(IF(ISNUMBER(SEARCH("Y",C101)),1,0)+IF(ISNUMBER(SEARCH("Y",D101)),1,0)+IF(ISNUMBER(SEARCH("Y-MC",C101)),1,0))</f>
        <v>300</v>
      </c>
    </row>
    <row r="102" spans="1:7">
      <c r="A102" t="s">
        <v>122</v>
      </c>
      <c r="B102">
        <v>40.909999999999997</v>
      </c>
      <c r="C102" t="s">
        <v>1497</v>
      </c>
      <c r="D102" t="s">
        <v>1498</v>
      </c>
      <c r="E102" t="s">
        <v>485</v>
      </c>
      <c r="F102">
        <f>ROUND(B102*基本資料!$B$11,0)</f>
        <v>2455</v>
      </c>
      <c r="G102">
        <f>基本資料!$B$12*(IF(ISNUMBER(SEARCH("Y",C102)),1,0)+IF(ISNUMBER(SEARCH("Y",D102)),1,0)+IF(ISNUMBER(SEARCH("Y-MC",C102)),1,0))</f>
        <v>300</v>
      </c>
    </row>
    <row r="103" spans="1:7">
      <c r="A103" t="s">
        <v>123</v>
      </c>
      <c r="B103">
        <v>40.909999999999997</v>
      </c>
      <c r="C103" t="s">
        <v>1497</v>
      </c>
      <c r="D103" t="s">
        <v>1498</v>
      </c>
      <c r="E103" t="s">
        <v>486</v>
      </c>
      <c r="F103">
        <f>ROUND(B103*基本資料!$B$11,0)</f>
        <v>2455</v>
      </c>
      <c r="G103">
        <f>基本資料!$B$12*(IF(ISNUMBER(SEARCH("Y",C103)),1,0)+IF(ISNUMBER(SEARCH("Y",D103)),1,0)+IF(ISNUMBER(SEARCH("Y-MC",C103)),1,0))</f>
        <v>300</v>
      </c>
    </row>
    <row r="104" spans="1:7">
      <c r="A104" t="s">
        <v>124</v>
      </c>
      <c r="B104">
        <v>40.909999999999997</v>
      </c>
      <c r="C104" t="s">
        <v>1497</v>
      </c>
      <c r="D104" t="s">
        <v>1498</v>
      </c>
      <c r="E104" t="s">
        <v>487</v>
      </c>
      <c r="F104">
        <f>ROUND(B104*基本資料!$B$11,0)</f>
        <v>2455</v>
      </c>
      <c r="G104">
        <f>基本資料!$B$12*(IF(ISNUMBER(SEARCH("Y",C104)),1,0)+IF(ISNUMBER(SEARCH("Y",D104)),1,0)+IF(ISNUMBER(SEARCH("Y-MC",C104)),1,0))</f>
        <v>300</v>
      </c>
    </row>
    <row r="105" spans="1:7">
      <c r="A105" t="s">
        <v>125</v>
      </c>
      <c r="B105">
        <v>40.909999999999997</v>
      </c>
      <c r="C105" t="s">
        <v>1497</v>
      </c>
      <c r="D105" t="s">
        <v>1498</v>
      </c>
      <c r="E105" t="s">
        <v>488</v>
      </c>
      <c r="F105">
        <f>ROUND(B105*基本資料!$B$11,0)</f>
        <v>2455</v>
      </c>
      <c r="G105">
        <f>基本資料!$B$12*(IF(ISNUMBER(SEARCH("Y",C105)),1,0)+IF(ISNUMBER(SEARCH("Y",D105)),1,0)+IF(ISNUMBER(SEARCH("Y-MC",C105)),1,0))</f>
        <v>300</v>
      </c>
    </row>
    <row r="106" spans="1:7">
      <c r="A106" t="s">
        <v>126</v>
      </c>
      <c r="B106">
        <v>40.909999999999997</v>
      </c>
      <c r="C106" t="s">
        <v>1497</v>
      </c>
      <c r="D106" t="s">
        <v>1498</v>
      </c>
      <c r="E106" t="s">
        <v>489</v>
      </c>
      <c r="F106">
        <f>ROUND(B106*基本資料!$B$11,0)</f>
        <v>2455</v>
      </c>
      <c r="G106">
        <f>基本資料!$B$12*(IF(ISNUMBER(SEARCH("Y",C106)),1,0)+IF(ISNUMBER(SEARCH("Y",D106)),1,0)+IF(ISNUMBER(SEARCH("Y-MC",C106)),1,0))</f>
        <v>300</v>
      </c>
    </row>
    <row r="107" spans="1:7">
      <c r="A107" t="s">
        <v>127</v>
      </c>
      <c r="B107">
        <v>39.31</v>
      </c>
      <c r="C107" t="s">
        <v>1497</v>
      </c>
      <c r="D107" t="s">
        <v>1498</v>
      </c>
      <c r="E107" t="s">
        <v>490</v>
      </c>
      <c r="F107">
        <f>ROUND(B107*基本資料!$B$11,0)</f>
        <v>2359</v>
      </c>
      <c r="G107">
        <f>基本資料!$B$12*(IF(ISNUMBER(SEARCH("Y",C107)),1,0)+IF(ISNUMBER(SEARCH("Y",D107)),1,0)+IF(ISNUMBER(SEARCH("Y-MC",C107)),1,0))</f>
        <v>300</v>
      </c>
    </row>
    <row r="108" spans="1:7">
      <c r="A108" t="s">
        <v>128</v>
      </c>
      <c r="B108">
        <v>39.31</v>
      </c>
      <c r="C108" t="s">
        <v>1497</v>
      </c>
      <c r="D108" t="s">
        <v>1498</v>
      </c>
      <c r="E108" t="s">
        <v>491</v>
      </c>
      <c r="F108">
        <f>ROUND(B108*基本資料!$B$11,0)</f>
        <v>2359</v>
      </c>
      <c r="G108">
        <f>基本資料!$B$12*(IF(ISNUMBER(SEARCH("Y",C108)),1,0)+IF(ISNUMBER(SEARCH("Y",D108)),1,0)+IF(ISNUMBER(SEARCH("Y-MC",C108)),1,0))</f>
        <v>300</v>
      </c>
    </row>
    <row r="109" spans="1:7">
      <c r="A109" t="s">
        <v>129</v>
      </c>
      <c r="B109">
        <v>39.31</v>
      </c>
      <c r="C109" t="s">
        <v>1497</v>
      </c>
      <c r="D109" t="s">
        <v>1498</v>
      </c>
      <c r="E109" t="s">
        <v>492</v>
      </c>
      <c r="F109">
        <f>ROUND(B109*基本資料!$B$11,0)</f>
        <v>2359</v>
      </c>
      <c r="G109">
        <f>基本資料!$B$12*(IF(ISNUMBER(SEARCH("Y",C109)),1,0)+IF(ISNUMBER(SEARCH("Y",D109)),1,0)+IF(ISNUMBER(SEARCH("Y-MC",C109)),1,0))</f>
        <v>300</v>
      </c>
    </row>
    <row r="110" spans="1:7">
      <c r="A110" t="s">
        <v>130</v>
      </c>
      <c r="B110">
        <v>39.31</v>
      </c>
      <c r="C110" t="s">
        <v>1497</v>
      </c>
      <c r="D110" t="s">
        <v>1498</v>
      </c>
      <c r="E110" t="s">
        <v>493</v>
      </c>
      <c r="F110">
        <f>ROUND(B110*基本資料!$B$11,0)</f>
        <v>2359</v>
      </c>
      <c r="G110">
        <f>基本資料!$B$12*(IF(ISNUMBER(SEARCH("Y",C110)),1,0)+IF(ISNUMBER(SEARCH("Y",D110)),1,0)+IF(ISNUMBER(SEARCH("Y-MC",C110)),1,0))</f>
        <v>300</v>
      </c>
    </row>
    <row r="111" spans="1:7">
      <c r="A111" t="s">
        <v>131</v>
      </c>
      <c r="B111">
        <v>39.31</v>
      </c>
      <c r="C111" t="s">
        <v>1497</v>
      </c>
      <c r="D111" t="s">
        <v>1498</v>
      </c>
      <c r="E111" t="s">
        <v>494</v>
      </c>
      <c r="F111">
        <f>ROUND(B111*基本資料!$B$11,0)</f>
        <v>2359</v>
      </c>
      <c r="G111">
        <f>基本資料!$B$12*(IF(ISNUMBER(SEARCH("Y",C111)),1,0)+IF(ISNUMBER(SEARCH("Y",D111)),1,0)+IF(ISNUMBER(SEARCH("Y-MC",C111)),1,0))</f>
        <v>300</v>
      </c>
    </row>
    <row r="112" spans="1:7">
      <c r="A112" t="s">
        <v>132</v>
      </c>
      <c r="B112">
        <v>39.31</v>
      </c>
      <c r="C112" t="s">
        <v>1497</v>
      </c>
      <c r="D112" t="s">
        <v>1498</v>
      </c>
      <c r="E112" t="s">
        <v>495</v>
      </c>
      <c r="F112">
        <f>ROUND(B112*基本資料!$B$11,0)</f>
        <v>2359</v>
      </c>
      <c r="G112">
        <f>基本資料!$B$12*(IF(ISNUMBER(SEARCH("Y",C112)),1,0)+IF(ISNUMBER(SEARCH("Y",D112)),1,0)+IF(ISNUMBER(SEARCH("Y-MC",C112)),1,0))</f>
        <v>300</v>
      </c>
    </row>
    <row r="113" spans="1:7">
      <c r="A113" t="s">
        <v>133</v>
      </c>
      <c r="B113">
        <v>39.31</v>
      </c>
      <c r="C113" t="s">
        <v>1497</v>
      </c>
      <c r="D113" t="s">
        <v>1498</v>
      </c>
      <c r="E113" t="s">
        <v>496</v>
      </c>
      <c r="F113">
        <f>ROUND(B113*基本資料!$B$11,0)</f>
        <v>2359</v>
      </c>
      <c r="G113">
        <f>基本資料!$B$12*(IF(ISNUMBER(SEARCH("Y",C113)),1,0)+IF(ISNUMBER(SEARCH("Y",D113)),1,0)+IF(ISNUMBER(SEARCH("Y-MC",C113)),1,0))</f>
        <v>300</v>
      </c>
    </row>
    <row r="114" spans="1:7">
      <c r="A114" t="s">
        <v>134</v>
      </c>
      <c r="B114">
        <v>39.31</v>
      </c>
      <c r="C114" t="s">
        <v>1497</v>
      </c>
      <c r="D114" t="s">
        <v>1498</v>
      </c>
      <c r="E114" t="s">
        <v>497</v>
      </c>
      <c r="F114">
        <f>ROUND(B114*基本資料!$B$11,0)</f>
        <v>2359</v>
      </c>
      <c r="G114">
        <f>基本資料!$B$12*(IF(ISNUMBER(SEARCH("Y",C114)),1,0)+IF(ISNUMBER(SEARCH("Y",D114)),1,0)+IF(ISNUMBER(SEARCH("Y-MC",C114)),1,0))</f>
        <v>300</v>
      </c>
    </row>
    <row r="115" spans="1:7">
      <c r="A115" t="s">
        <v>135</v>
      </c>
      <c r="B115">
        <v>39.31</v>
      </c>
      <c r="C115" t="s">
        <v>1497</v>
      </c>
      <c r="D115" t="s">
        <v>1498</v>
      </c>
      <c r="E115" t="s">
        <v>498</v>
      </c>
      <c r="F115">
        <f>ROUND(B115*基本資料!$B$11,0)</f>
        <v>2359</v>
      </c>
      <c r="G115">
        <f>基本資料!$B$12*(IF(ISNUMBER(SEARCH("Y",C115)),1,0)+IF(ISNUMBER(SEARCH("Y",D115)),1,0)+IF(ISNUMBER(SEARCH("Y-MC",C115)),1,0))</f>
        <v>300</v>
      </c>
    </row>
    <row r="116" spans="1:7">
      <c r="A116" t="s">
        <v>136</v>
      </c>
      <c r="B116">
        <v>39.31</v>
      </c>
      <c r="C116" t="s">
        <v>1497</v>
      </c>
      <c r="D116" t="s">
        <v>1498</v>
      </c>
      <c r="E116" t="s">
        <v>499</v>
      </c>
      <c r="F116">
        <f>ROUND(B116*基本資料!$B$11,0)</f>
        <v>2359</v>
      </c>
      <c r="G116">
        <f>基本資料!$B$12*(IF(ISNUMBER(SEARCH("Y",C116)),1,0)+IF(ISNUMBER(SEARCH("Y",D116)),1,0)+IF(ISNUMBER(SEARCH("Y-MC",C116)),1,0))</f>
        <v>300</v>
      </c>
    </row>
    <row r="117" spans="1:7">
      <c r="A117" t="s">
        <v>137</v>
      </c>
      <c r="B117">
        <v>39.31</v>
      </c>
      <c r="C117" t="s">
        <v>1497</v>
      </c>
      <c r="D117" t="s">
        <v>1498</v>
      </c>
      <c r="E117" t="s">
        <v>500</v>
      </c>
      <c r="F117">
        <f>ROUND(B117*基本資料!$B$11,0)</f>
        <v>2359</v>
      </c>
      <c r="G117">
        <f>基本資料!$B$12*(IF(ISNUMBER(SEARCH("Y",C117)),1,0)+IF(ISNUMBER(SEARCH("Y",D117)),1,0)+IF(ISNUMBER(SEARCH("Y-MC",C117)),1,0))</f>
        <v>300</v>
      </c>
    </row>
    <row r="118" spans="1:7">
      <c r="A118" t="s">
        <v>138</v>
      </c>
      <c r="B118">
        <v>39.31</v>
      </c>
      <c r="C118" t="s">
        <v>1497</v>
      </c>
      <c r="D118" t="s">
        <v>1498</v>
      </c>
      <c r="E118" t="s">
        <v>501</v>
      </c>
      <c r="F118">
        <f>ROUND(B118*基本資料!$B$11,0)</f>
        <v>2359</v>
      </c>
      <c r="G118">
        <f>基本資料!$B$12*(IF(ISNUMBER(SEARCH("Y",C118)),1,0)+IF(ISNUMBER(SEARCH("Y",D118)),1,0)+IF(ISNUMBER(SEARCH("Y-MC",C118)),1,0))</f>
        <v>300</v>
      </c>
    </row>
    <row r="119" spans="1:7">
      <c r="A119" t="s">
        <v>139</v>
      </c>
      <c r="B119">
        <v>39.31</v>
      </c>
      <c r="C119" t="s">
        <v>1497</v>
      </c>
      <c r="D119" t="s">
        <v>1498</v>
      </c>
      <c r="E119" t="s">
        <v>502</v>
      </c>
      <c r="F119">
        <f>ROUND(B119*基本資料!$B$11,0)</f>
        <v>2359</v>
      </c>
      <c r="G119">
        <f>基本資料!$B$12*(IF(ISNUMBER(SEARCH("Y",C119)),1,0)+IF(ISNUMBER(SEARCH("Y",D119)),1,0)+IF(ISNUMBER(SEARCH("Y-MC",C119)),1,0))</f>
        <v>300</v>
      </c>
    </row>
    <row r="120" spans="1:7">
      <c r="A120" t="s">
        <v>140</v>
      </c>
      <c r="B120">
        <v>39.31</v>
      </c>
      <c r="C120" t="s">
        <v>1497</v>
      </c>
      <c r="D120" t="s">
        <v>1498</v>
      </c>
      <c r="E120" t="s">
        <v>503</v>
      </c>
      <c r="F120">
        <f>ROUND(B120*基本資料!$B$11,0)</f>
        <v>2359</v>
      </c>
      <c r="G120">
        <f>基本資料!$B$12*(IF(ISNUMBER(SEARCH("Y",C120)),1,0)+IF(ISNUMBER(SEARCH("Y",D120)),1,0)+IF(ISNUMBER(SEARCH("Y-MC",C120)),1,0))</f>
        <v>300</v>
      </c>
    </row>
    <row r="121" spans="1:7">
      <c r="A121" t="s">
        <v>141</v>
      </c>
      <c r="B121">
        <v>40</v>
      </c>
      <c r="C121" t="s">
        <v>1497</v>
      </c>
      <c r="D121" t="s">
        <v>1498</v>
      </c>
      <c r="E121" t="s">
        <v>504</v>
      </c>
      <c r="F121">
        <f>ROUND(B121*基本資料!$B$11,0)</f>
        <v>2400</v>
      </c>
      <c r="G121">
        <f>基本資料!$B$12*(IF(ISNUMBER(SEARCH("Y",C121)),1,0)+IF(ISNUMBER(SEARCH("Y",D121)),1,0)+IF(ISNUMBER(SEARCH("Y-MC",C121)),1,0))</f>
        <v>300</v>
      </c>
    </row>
    <row r="122" spans="1:7">
      <c r="A122" t="s">
        <v>13</v>
      </c>
      <c r="B122">
        <v>40</v>
      </c>
      <c r="C122" t="s">
        <v>1497</v>
      </c>
      <c r="D122" t="s">
        <v>1498</v>
      </c>
      <c r="E122" t="s">
        <v>505</v>
      </c>
      <c r="F122">
        <f>ROUND(B122*基本資料!$B$11,0)</f>
        <v>2400</v>
      </c>
      <c r="G122">
        <f>基本資料!$B$12*(IF(ISNUMBER(SEARCH("Y",C122)),1,0)+IF(ISNUMBER(SEARCH("Y",D122)),1,0)+IF(ISNUMBER(SEARCH("Y-MC",C122)),1,0))</f>
        <v>300</v>
      </c>
    </row>
    <row r="123" spans="1:7">
      <c r="A123" t="s">
        <v>142</v>
      </c>
      <c r="B123">
        <v>40</v>
      </c>
      <c r="C123" t="s">
        <v>1497</v>
      </c>
      <c r="D123" t="s">
        <v>1498</v>
      </c>
      <c r="E123" t="s">
        <v>506</v>
      </c>
      <c r="F123">
        <f>ROUND(B123*基本資料!$B$11,0)</f>
        <v>2400</v>
      </c>
      <c r="G123">
        <f>基本資料!$B$12*(IF(ISNUMBER(SEARCH("Y",C123)),1,0)+IF(ISNUMBER(SEARCH("Y",D123)),1,0)+IF(ISNUMBER(SEARCH("Y-MC",C123)),1,0))</f>
        <v>300</v>
      </c>
    </row>
    <row r="124" spans="1:7">
      <c r="A124" t="s">
        <v>143</v>
      </c>
      <c r="B124">
        <v>40</v>
      </c>
      <c r="C124" t="s">
        <v>1497</v>
      </c>
      <c r="D124" t="s">
        <v>1498</v>
      </c>
      <c r="E124" t="s">
        <v>507</v>
      </c>
      <c r="F124">
        <f>ROUND(B124*基本資料!$B$11,0)</f>
        <v>2400</v>
      </c>
      <c r="G124">
        <f>基本資料!$B$12*(IF(ISNUMBER(SEARCH("Y",C124)),1,0)+IF(ISNUMBER(SEARCH("Y",D124)),1,0)+IF(ISNUMBER(SEARCH("Y-MC",C124)),1,0))</f>
        <v>300</v>
      </c>
    </row>
    <row r="125" spans="1:7">
      <c r="A125" t="s">
        <v>144</v>
      </c>
      <c r="B125">
        <v>40</v>
      </c>
      <c r="C125" t="s">
        <v>1497</v>
      </c>
      <c r="D125" t="s">
        <v>1498</v>
      </c>
      <c r="E125" t="s">
        <v>508</v>
      </c>
      <c r="F125">
        <f>ROUND(B125*基本資料!$B$11,0)</f>
        <v>2400</v>
      </c>
      <c r="G125">
        <f>基本資料!$B$12*(IF(ISNUMBER(SEARCH("Y",C125)),1,0)+IF(ISNUMBER(SEARCH("Y",D125)),1,0)+IF(ISNUMBER(SEARCH("Y-MC",C125)),1,0))</f>
        <v>300</v>
      </c>
    </row>
    <row r="126" spans="1:7">
      <c r="A126" t="s">
        <v>145</v>
      </c>
      <c r="B126">
        <v>40</v>
      </c>
      <c r="C126" t="s">
        <v>1497</v>
      </c>
      <c r="D126" t="s">
        <v>1498</v>
      </c>
      <c r="E126" t="s">
        <v>509</v>
      </c>
      <c r="F126">
        <f>ROUND(B126*基本資料!$B$11,0)</f>
        <v>2400</v>
      </c>
      <c r="G126">
        <f>基本資料!$B$12*(IF(ISNUMBER(SEARCH("Y",C126)),1,0)+IF(ISNUMBER(SEARCH("Y",D126)),1,0)+IF(ISNUMBER(SEARCH("Y-MC",C126)),1,0))</f>
        <v>300</v>
      </c>
    </row>
    <row r="127" spans="1:7">
      <c r="A127" t="s">
        <v>146</v>
      </c>
      <c r="B127">
        <v>40</v>
      </c>
      <c r="C127" t="s">
        <v>1497</v>
      </c>
      <c r="D127" t="s">
        <v>1498</v>
      </c>
      <c r="E127" t="s">
        <v>510</v>
      </c>
      <c r="F127">
        <f>ROUND(B127*基本資料!$B$11,0)</f>
        <v>2400</v>
      </c>
      <c r="G127">
        <f>基本資料!$B$12*(IF(ISNUMBER(SEARCH("Y",C127)),1,0)+IF(ISNUMBER(SEARCH("Y",D127)),1,0)+IF(ISNUMBER(SEARCH("Y-MC",C127)),1,0))</f>
        <v>300</v>
      </c>
    </row>
    <row r="128" spans="1:7">
      <c r="A128" t="s">
        <v>147</v>
      </c>
      <c r="B128">
        <v>40</v>
      </c>
      <c r="C128" t="s">
        <v>1497</v>
      </c>
      <c r="D128" t="s">
        <v>1498</v>
      </c>
      <c r="E128" t="s">
        <v>511</v>
      </c>
      <c r="F128">
        <f>ROUND(B128*基本資料!$B$11,0)</f>
        <v>2400</v>
      </c>
      <c r="G128">
        <f>基本資料!$B$12*(IF(ISNUMBER(SEARCH("Y",C128)),1,0)+IF(ISNUMBER(SEARCH("Y",D128)),1,0)+IF(ISNUMBER(SEARCH("Y-MC",C128)),1,0))</f>
        <v>300</v>
      </c>
    </row>
    <row r="129" spans="1:7">
      <c r="A129" t="s">
        <v>148</v>
      </c>
      <c r="B129">
        <v>40</v>
      </c>
      <c r="C129" t="s">
        <v>1497</v>
      </c>
      <c r="D129" t="s">
        <v>1498</v>
      </c>
      <c r="E129" t="s">
        <v>512</v>
      </c>
      <c r="F129">
        <f>ROUND(B129*基本資料!$B$11,0)</f>
        <v>2400</v>
      </c>
      <c r="G129">
        <f>基本資料!$B$12*(IF(ISNUMBER(SEARCH("Y",C129)),1,0)+IF(ISNUMBER(SEARCH("Y",D129)),1,0)+IF(ISNUMBER(SEARCH("Y-MC",C129)),1,0))</f>
        <v>300</v>
      </c>
    </row>
    <row r="130" spans="1:7">
      <c r="A130" t="s">
        <v>149</v>
      </c>
      <c r="B130">
        <v>40</v>
      </c>
      <c r="C130" t="s">
        <v>1497</v>
      </c>
      <c r="D130" t="s">
        <v>1498</v>
      </c>
      <c r="E130" t="s">
        <v>513</v>
      </c>
      <c r="F130">
        <f>ROUND(B130*基本資料!$B$11,0)</f>
        <v>2400</v>
      </c>
      <c r="G130">
        <f>基本資料!$B$12*(IF(ISNUMBER(SEARCH("Y",C130)),1,0)+IF(ISNUMBER(SEARCH("Y",D130)),1,0)+IF(ISNUMBER(SEARCH("Y-MC",C130)),1,0))</f>
        <v>300</v>
      </c>
    </row>
    <row r="131" spans="1:7">
      <c r="A131" t="s">
        <v>150</v>
      </c>
      <c r="B131">
        <v>40</v>
      </c>
      <c r="C131" t="s">
        <v>1497</v>
      </c>
      <c r="D131" t="s">
        <v>1498</v>
      </c>
      <c r="E131" t="s">
        <v>514</v>
      </c>
      <c r="F131">
        <f>ROUND(B131*基本資料!$B$11,0)</f>
        <v>2400</v>
      </c>
      <c r="G131">
        <f>基本資料!$B$12*(IF(ISNUMBER(SEARCH("Y",C131)),1,0)+IF(ISNUMBER(SEARCH("Y",D131)),1,0)+IF(ISNUMBER(SEARCH("Y-MC",C131)),1,0))</f>
        <v>300</v>
      </c>
    </row>
    <row r="132" spans="1:7">
      <c r="A132" t="s">
        <v>151</v>
      </c>
      <c r="B132">
        <v>40</v>
      </c>
      <c r="C132" t="s">
        <v>1497</v>
      </c>
      <c r="D132" t="s">
        <v>1498</v>
      </c>
      <c r="E132" t="s">
        <v>515</v>
      </c>
      <c r="F132">
        <f>ROUND(B132*基本資料!$B$11,0)</f>
        <v>2400</v>
      </c>
      <c r="G132">
        <f>基本資料!$B$12*(IF(ISNUMBER(SEARCH("Y",C132)),1,0)+IF(ISNUMBER(SEARCH("Y",D132)),1,0)+IF(ISNUMBER(SEARCH("Y-MC",C132)),1,0))</f>
        <v>300</v>
      </c>
    </row>
    <row r="133" spans="1:7">
      <c r="A133" t="s">
        <v>152</v>
      </c>
      <c r="B133">
        <v>40</v>
      </c>
      <c r="C133" t="s">
        <v>1497</v>
      </c>
      <c r="D133" t="s">
        <v>1498</v>
      </c>
      <c r="E133" t="s">
        <v>516</v>
      </c>
      <c r="F133">
        <f>ROUND(B133*基本資料!$B$11,0)</f>
        <v>2400</v>
      </c>
      <c r="G133">
        <f>基本資料!$B$12*(IF(ISNUMBER(SEARCH("Y",C133)),1,0)+IF(ISNUMBER(SEARCH("Y",D133)),1,0)+IF(ISNUMBER(SEARCH("Y-MC",C133)),1,0))</f>
        <v>300</v>
      </c>
    </row>
    <row r="134" spans="1:7">
      <c r="A134" t="s">
        <v>153</v>
      </c>
      <c r="B134">
        <v>40</v>
      </c>
      <c r="C134" t="s">
        <v>1497</v>
      </c>
      <c r="D134" t="s">
        <v>1498</v>
      </c>
      <c r="E134" t="s">
        <v>517</v>
      </c>
      <c r="F134">
        <f>ROUND(B134*基本資料!$B$11,0)</f>
        <v>2400</v>
      </c>
      <c r="G134">
        <f>基本資料!$B$12*(IF(ISNUMBER(SEARCH("Y",C134)),1,0)+IF(ISNUMBER(SEARCH("Y",D134)),1,0)+IF(ISNUMBER(SEARCH("Y-MC",C134)),1,0))</f>
        <v>300</v>
      </c>
    </row>
    <row r="135" spans="1:7">
      <c r="A135" t="s">
        <v>154</v>
      </c>
      <c r="B135">
        <v>22.85</v>
      </c>
      <c r="C135" t="s">
        <v>1498</v>
      </c>
      <c r="D135" t="s">
        <v>1498</v>
      </c>
      <c r="E135" t="s">
        <v>518</v>
      </c>
      <c r="F135">
        <f>ROUND(B135*基本資料!$B$11,0)</f>
        <v>1371</v>
      </c>
      <c r="G135">
        <f>基本資料!$B$12*(IF(ISNUMBER(SEARCH("Y",C135)),1,0)+IF(ISNUMBER(SEARCH("Y",D135)),1,0)+IF(ISNUMBER(SEARCH("Y-MC",C135)),1,0))</f>
        <v>0</v>
      </c>
    </row>
    <row r="136" spans="1:7">
      <c r="A136" t="s">
        <v>7</v>
      </c>
      <c r="B136">
        <v>22.85</v>
      </c>
      <c r="C136" t="s">
        <v>1497</v>
      </c>
      <c r="D136" t="s">
        <v>1498</v>
      </c>
      <c r="E136" t="s">
        <v>519</v>
      </c>
      <c r="F136">
        <f>ROUND(B136*基本資料!$B$11,0)</f>
        <v>1371</v>
      </c>
      <c r="G136">
        <f>基本資料!$B$12*(IF(ISNUMBER(SEARCH("Y",C136)),1,0)+IF(ISNUMBER(SEARCH("Y",D136)),1,0)+IF(ISNUMBER(SEARCH("Y-MC",C136)),1,0))</f>
        <v>300</v>
      </c>
    </row>
    <row r="137" spans="1:7">
      <c r="A137" t="s">
        <v>155</v>
      </c>
      <c r="B137">
        <v>22.85</v>
      </c>
      <c r="C137" t="s">
        <v>1498</v>
      </c>
      <c r="D137" t="s">
        <v>1498</v>
      </c>
      <c r="E137" t="s">
        <v>520</v>
      </c>
      <c r="F137">
        <f>ROUND(B137*基本資料!$B$11,0)</f>
        <v>1371</v>
      </c>
      <c r="G137">
        <f>基本資料!$B$12*(IF(ISNUMBER(SEARCH("Y",C137)),1,0)+IF(ISNUMBER(SEARCH("Y",D137)),1,0)+IF(ISNUMBER(SEARCH("Y-MC",C137)),1,0))</f>
        <v>0</v>
      </c>
    </row>
    <row r="138" spans="1:7">
      <c r="A138" t="s">
        <v>156</v>
      </c>
      <c r="B138">
        <v>22.85</v>
      </c>
      <c r="C138" t="s">
        <v>1497</v>
      </c>
      <c r="D138" t="s">
        <v>1498</v>
      </c>
      <c r="E138" t="s">
        <v>521</v>
      </c>
      <c r="F138">
        <f>ROUND(B138*基本資料!$B$11,0)</f>
        <v>1371</v>
      </c>
      <c r="G138">
        <f>基本資料!$B$12*(IF(ISNUMBER(SEARCH("Y",C138)),1,0)+IF(ISNUMBER(SEARCH("Y",D138)),1,0)+IF(ISNUMBER(SEARCH("Y-MC",C138)),1,0))</f>
        <v>300</v>
      </c>
    </row>
    <row r="139" spans="1:7">
      <c r="A139" t="s">
        <v>157</v>
      </c>
      <c r="B139">
        <v>22.85</v>
      </c>
      <c r="C139" t="s">
        <v>1498</v>
      </c>
      <c r="D139" t="s">
        <v>1498</v>
      </c>
      <c r="E139" t="s">
        <v>522</v>
      </c>
      <c r="F139">
        <f>ROUND(B139*基本資料!$B$11,0)</f>
        <v>1371</v>
      </c>
      <c r="G139">
        <f>基本資料!$B$12*(IF(ISNUMBER(SEARCH("Y",C139)),1,0)+IF(ISNUMBER(SEARCH("Y",D139)),1,0)+IF(ISNUMBER(SEARCH("Y-MC",C139)),1,0))</f>
        <v>0</v>
      </c>
    </row>
    <row r="140" spans="1:7">
      <c r="A140" t="s">
        <v>158</v>
      </c>
      <c r="B140">
        <v>22.85</v>
      </c>
      <c r="C140" t="s">
        <v>1497</v>
      </c>
      <c r="D140" t="s">
        <v>1498</v>
      </c>
      <c r="E140" t="s">
        <v>523</v>
      </c>
      <c r="F140">
        <f>ROUND(B140*基本資料!$B$11,0)</f>
        <v>1371</v>
      </c>
      <c r="G140">
        <f>基本資料!$B$12*(IF(ISNUMBER(SEARCH("Y",C140)),1,0)+IF(ISNUMBER(SEARCH("Y",D140)),1,0)+IF(ISNUMBER(SEARCH("Y-MC",C140)),1,0))</f>
        <v>300</v>
      </c>
    </row>
    <row r="141" spans="1:7">
      <c r="A141" t="s">
        <v>159</v>
      </c>
      <c r="B141">
        <v>22.85</v>
      </c>
      <c r="C141" t="s">
        <v>1498</v>
      </c>
      <c r="D141" t="s">
        <v>1498</v>
      </c>
      <c r="E141" t="s">
        <v>524</v>
      </c>
      <c r="F141">
        <f>ROUND(B141*基本資料!$B$11,0)</f>
        <v>1371</v>
      </c>
      <c r="G141">
        <f>基本資料!$B$12*(IF(ISNUMBER(SEARCH("Y",C141)),1,0)+IF(ISNUMBER(SEARCH("Y",D141)),1,0)+IF(ISNUMBER(SEARCH("Y-MC",C141)),1,0))</f>
        <v>0</v>
      </c>
    </row>
    <row r="142" spans="1:7">
      <c r="A142" t="s">
        <v>160</v>
      </c>
      <c r="B142">
        <v>22.85</v>
      </c>
      <c r="C142" t="s">
        <v>1497</v>
      </c>
      <c r="D142" t="s">
        <v>1498</v>
      </c>
      <c r="E142" t="s">
        <v>525</v>
      </c>
      <c r="F142">
        <f>ROUND(B142*基本資料!$B$11,0)</f>
        <v>1371</v>
      </c>
      <c r="G142">
        <f>基本資料!$B$12*(IF(ISNUMBER(SEARCH("Y",C142)),1,0)+IF(ISNUMBER(SEARCH("Y",D142)),1,0)+IF(ISNUMBER(SEARCH("Y-MC",C142)),1,0))</f>
        <v>300</v>
      </c>
    </row>
    <row r="143" spans="1:7">
      <c r="A143" t="s">
        <v>161</v>
      </c>
      <c r="B143">
        <v>22.85</v>
      </c>
      <c r="C143" t="s">
        <v>1497</v>
      </c>
      <c r="D143" t="s">
        <v>1498</v>
      </c>
      <c r="E143" t="s">
        <v>526</v>
      </c>
      <c r="F143">
        <f>ROUND(B143*基本資料!$B$11,0)</f>
        <v>1371</v>
      </c>
      <c r="G143">
        <f>基本資料!$B$12*(IF(ISNUMBER(SEARCH("Y",C143)),1,0)+IF(ISNUMBER(SEARCH("Y",D143)),1,0)+IF(ISNUMBER(SEARCH("Y-MC",C143)),1,0))</f>
        <v>300</v>
      </c>
    </row>
    <row r="144" spans="1:7">
      <c r="A144" t="s">
        <v>162</v>
      </c>
      <c r="B144">
        <v>22.85</v>
      </c>
      <c r="C144" t="s">
        <v>1498</v>
      </c>
      <c r="D144" t="s">
        <v>1498</v>
      </c>
      <c r="E144" t="s">
        <v>527</v>
      </c>
      <c r="F144">
        <f>ROUND(B144*基本資料!$B$11,0)</f>
        <v>1371</v>
      </c>
      <c r="G144">
        <f>基本資料!$B$12*(IF(ISNUMBER(SEARCH("Y",C144)),1,0)+IF(ISNUMBER(SEARCH("Y",D144)),1,0)+IF(ISNUMBER(SEARCH("Y-MC",C144)),1,0))</f>
        <v>0</v>
      </c>
    </row>
    <row r="145" spans="1:7">
      <c r="A145" t="s">
        <v>163</v>
      </c>
      <c r="B145">
        <v>22.85</v>
      </c>
      <c r="C145" t="s">
        <v>1498</v>
      </c>
      <c r="D145" t="s">
        <v>1498</v>
      </c>
      <c r="E145" t="s">
        <v>528</v>
      </c>
      <c r="F145">
        <f>ROUND(B145*基本資料!$B$11,0)</f>
        <v>1371</v>
      </c>
      <c r="G145">
        <f>基本資料!$B$12*(IF(ISNUMBER(SEARCH("Y",C145)),1,0)+IF(ISNUMBER(SEARCH("Y",D145)),1,0)+IF(ISNUMBER(SEARCH("Y-MC",C145)),1,0))</f>
        <v>0</v>
      </c>
    </row>
    <row r="146" spans="1:7">
      <c r="A146" t="s">
        <v>164</v>
      </c>
      <c r="B146">
        <v>22.85</v>
      </c>
      <c r="C146" t="s">
        <v>1497</v>
      </c>
      <c r="D146" t="s">
        <v>1498</v>
      </c>
      <c r="E146" t="s">
        <v>529</v>
      </c>
      <c r="F146">
        <f>ROUND(B146*基本資料!$B$11,0)</f>
        <v>1371</v>
      </c>
      <c r="G146">
        <f>基本資料!$B$12*(IF(ISNUMBER(SEARCH("Y",C146)),1,0)+IF(ISNUMBER(SEARCH("Y",D146)),1,0)+IF(ISNUMBER(SEARCH("Y-MC",C146)),1,0))</f>
        <v>300</v>
      </c>
    </row>
    <row r="147" spans="1:7">
      <c r="A147" t="s">
        <v>165</v>
      </c>
      <c r="B147">
        <v>22.85</v>
      </c>
      <c r="C147" t="s">
        <v>1498</v>
      </c>
      <c r="D147" t="s">
        <v>1498</v>
      </c>
      <c r="E147" t="s">
        <v>530</v>
      </c>
      <c r="F147">
        <f>ROUND(B147*基本資料!$B$11,0)</f>
        <v>1371</v>
      </c>
      <c r="G147">
        <f>基本資料!$B$12*(IF(ISNUMBER(SEARCH("Y",C147)),1,0)+IF(ISNUMBER(SEARCH("Y",D147)),1,0)+IF(ISNUMBER(SEARCH("Y-MC",C147)),1,0))</f>
        <v>0</v>
      </c>
    </row>
    <row r="148" spans="1:7">
      <c r="A148" t="s">
        <v>166</v>
      </c>
      <c r="B148">
        <v>22.85</v>
      </c>
      <c r="C148" t="s">
        <v>1498</v>
      </c>
      <c r="D148" t="s">
        <v>1498</v>
      </c>
      <c r="E148" t="s">
        <v>531</v>
      </c>
      <c r="F148">
        <f>ROUND(B148*基本資料!$B$11,0)</f>
        <v>1371</v>
      </c>
      <c r="G148">
        <f>基本資料!$B$12*(IF(ISNUMBER(SEARCH("Y",C148)),1,0)+IF(ISNUMBER(SEARCH("Y",D148)),1,0)+IF(ISNUMBER(SEARCH("Y-MC",C148)),1,0))</f>
        <v>0</v>
      </c>
    </row>
    <row r="149" spans="1:7">
      <c r="A149" t="s">
        <v>167</v>
      </c>
      <c r="B149">
        <v>40.36</v>
      </c>
      <c r="C149" t="s">
        <v>1497</v>
      </c>
      <c r="D149" t="s">
        <v>1498</v>
      </c>
      <c r="E149" t="s">
        <v>532</v>
      </c>
      <c r="F149">
        <f>ROUND(B149*基本資料!$B$11,0)</f>
        <v>2422</v>
      </c>
      <c r="G149">
        <f>基本資料!$B$12*(IF(ISNUMBER(SEARCH("Y",C149)),1,0)+IF(ISNUMBER(SEARCH("Y",D149)),1,0)+IF(ISNUMBER(SEARCH("Y-MC",C149)),1,0))</f>
        <v>300</v>
      </c>
    </row>
    <row r="150" spans="1:7">
      <c r="A150" t="s">
        <v>168</v>
      </c>
      <c r="B150">
        <v>40.36</v>
      </c>
      <c r="C150" t="s">
        <v>1497</v>
      </c>
      <c r="D150" t="s">
        <v>1498</v>
      </c>
      <c r="E150" t="s">
        <v>533</v>
      </c>
      <c r="F150">
        <f>ROUND(B150*基本資料!$B$11,0)</f>
        <v>2422</v>
      </c>
      <c r="G150">
        <f>基本資料!$B$12*(IF(ISNUMBER(SEARCH("Y",C150)),1,0)+IF(ISNUMBER(SEARCH("Y",D150)),1,0)+IF(ISNUMBER(SEARCH("Y-MC",C150)),1,0))</f>
        <v>300</v>
      </c>
    </row>
    <row r="151" spans="1:7">
      <c r="A151" t="s">
        <v>169</v>
      </c>
      <c r="B151">
        <v>40.36</v>
      </c>
      <c r="C151" t="s">
        <v>1497</v>
      </c>
      <c r="D151" t="s">
        <v>1498</v>
      </c>
      <c r="E151" t="s">
        <v>534</v>
      </c>
      <c r="F151">
        <f>ROUND(B151*基本資料!$B$11,0)</f>
        <v>2422</v>
      </c>
      <c r="G151">
        <f>基本資料!$B$12*(IF(ISNUMBER(SEARCH("Y",C151)),1,0)+IF(ISNUMBER(SEARCH("Y",D151)),1,0)+IF(ISNUMBER(SEARCH("Y-MC",C151)),1,0))</f>
        <v>300</v>
      </c>
    </row>
    <row r="152" spans="1:7">
      <c r="A152" t="s">
        <v>170</v>
      </c>
      <c r="B152">
        <v>40.36</v>
      </c>
      <c r="C152" t="s">
        <v>1497</v>
      </c>
      <c r="D152" t="s">
        <v>1498</v>
      </c>
      <c r="E152" t="s">
        <v>535</v>
      </c>
      <c r="F152">
        <f>ROUND(B152*基本資料!$B$11,0)</f>
        <v>2422</v>
      </c>
      <c r="G152">
        <f>基本資料!$B$12*(IF(ISNUMBER(SEARCH("Y",C152)),1,0)+IF(ISNUMBER(SEARCH("Y",D152)),1,0)+IF(ISNUMBER(SEARCH("Y-MC",C152)),1,0))</f>
        <v>300</v>
      </c>
    </row>
    <row r="153" spans="1:7">
      <c r="A153" t="s">
        <v>171</v>
      </c>
      <c r="B153">
        <v>40.36</v>
      </c>
      <c r="C153" t="s">
        <v>1497</v>
      </c>
      <c r="D153" t="s">
        <v>1498</v>
      </c>
      <c r="E153" t="s">
        <v>536</v>
      </c>
      <c r="F153">
        <f>ROUND(B153*基本資料!$B$11,0)</f>
        <v>2422</v>
      </c>
      <c r="G153">
        <f>基本資料!$B$12*(IF(ISNUMBER(SEARCH("Y",C153)),1,0)+IF(ISNUMBER(SEARCH("Y",D153)),1,0)+IF(ISNUMBER(SEARCH("Y-MC",C153)),1,0))</f>
        <v>300</v>
      </c>
    </row>
    <row r="154" spans="1:7">
      <c r="A154" t="s">
        <v>172</v>
      </c>
      <c r="B154">
        <v>40.36</v>
      </c>
      <c r="C154" t="s">
        <v>1497</v>
      </c>
      <c r="D154" t="s">
        <v>1498</v>
      </c>
      <c r="E154" t="s">
        <v>537</v>
      </c>
      <c r="F154">
        <f>ROUND(B154*基本資料!$B$11,0)</f>
        <v>2422</v>
      </c>
      <c r="G154">
        <f>基本資料!$B$12*(IF(ISNUMBER(SEARCH("Y",C154)),1,0)+IF(ISNUMBER(SEARCH("Y",D154)),1,0)+IF(ISNUMBER(SEARCH("Y-MC",C154)),1,0))</f>
        <v>300</v>
      </c>
    </row>
    <row r="155" spans="1:7">
      <c r="A155" t="s">
        <v>173</v>
      </c>
      <c r="B155">
        <v>40.36</v>
      </c>
      <c r="C155" t="s">
        <v>1497</v>
      </c>
      <c r="D155" t="s">
        <v>1498</v>
      </c>
      <c r="E155" t="s">
        <v>538</v>
      </c>
      <c r="F155">
        <f>ROUND(B155*基本資料!$B$11,0)</f>
        <v>2422</v>
      </c>
      <c r="G155">
        <f>基本資料!$B$12*(IF(ISNUMBER(SEARCH("Y",C155)),1,0)+IF(ISNUMBER(SEARCH("Y",D155)),1,0)+IF(ISNUMBER(SEARCH("Y-MC",C155)),1,0))</f>
        <v>300</v>
      </c>
    </row>
    <row r="156" spans="1:7">
      <c r="A156" t="s">
        <v>174</v>
      </c>
      <c r="B156">
        <v>40.36</v>
      </c>
      <c r="C156" t="s">
        <v>1497</v>
      </c>
      <c r="D156" t="s">
        <v>1498</v>
      </c>
      <c r="E156" t="s">
        <v>539</v>
      </c>
      <c r="F156">
        <f>ROUND(B156*基本資料!$B$11,0)</f>
        <v>2422</v>
      </c>
      <c r="G156">
        <f>基本資料!$B$12*(IF(ISNUMBER(SEARCH("Y",C156)),1,0)+IF(ISNUMBER(SEARCH("Y",D156)),1,0)+IF(ISNUMBER(SEARCH("Y-MC",C156)),1,0))</f>
        <v>300</v>
      </c>
    </row>
    <row r="157" spans="1:7">
      <c r="A157" t="s">
        <v>175</v>
      </c>
      <c r="B157">
        <v>40.36</v>
      </c>
      <c r="C157" t="s">
        <v>1497</v>
      </c>
      <c r="D157" t="s">
        <v>1498</v>
      </c>
      <c r="E157" t="s">
        <v>540</v>
      </c>
      <c r="F157">
        <f>ROUND(B157*基本資料!$B$11,0)</f>
        <v>2422</v>
      </c>
      <c r="G157">
        <f>基本資料!$B$12*(IF(ISNUMBER(SEARCH("Y",C157)),1,0)+IF(ISNUMBER(SEARCH("Y",D157)),1,0)+IF(ISNUMBER(SEARCH("Y-MC",C157)),1,0))</f>
        <v>300</v>
      </c>
    </row>
    <row r="158" spans="1:7">
      <c r="A158" t="s">
        <v>176</v>
      </c>
      <c r="B158">
        <v>40.36</v>
      </c>
      <c r="C158" t="s">
        <v>1497</v>
      </c>
      <c r="D158" t="s">
        <v>1498</v>
      </c>
      <c r="E158" t="s">
        <v>541</v>
      </c>
      <c r="F158">
        <f>ROUND(B158*基本資料!$B$11,0)</f>
        <v>2422</v>
      </c>
      <c r="G158">
        <f>基本資料!$B$12*(IF(ISNUMBER(SEARCH("Y",C158)),1,0)+IF(ISNUMBER(SEARCH("Y",D158)),1,0)+IF(ISNUMBER(SEARCH("Y-MC",C158)),1,0))</f>
        <v>300</v>
      </c>
    </row>
    <row r="159" spans="1:7">
      <c r="A159" t="s">
        <v>177</v>
      </c>
      <c r="B159">
        <v>40.36</v>
      </c>
      <c r="C159" t="s">
        <v>1497</v>
      </c>
      <c r="D159" t="s">
        <v>1498</v>
      </c>
      <c r="E159" t="s">
        <v>542</v>
      </c>
      <c r="F159">
        <f>ROUND(B159*基本資料!$B$11,0)</f>
        <v>2422</v>
      </c>
      <c r="G159">
        <f>基本資料!$B$12*(IF(ISNUMBER(SEARCH("Y",C159)),1,0)+IF(ISNUMBER(SEARCH("Y",D159)),1,0)+IF(ISNUMBER(SEARCH("Y-MC",C159)),1,0))</f>
        <v>300</v>
      </c>
    </row>
    <row r="160" spans="1:7">
      <c r="A160" t="s">
        <v>178</v>
      </c>
      <c r="B160">
        <v>40.36</v>
      </c>
      <c r="C160" t="s">
        <v>1497</v>
      </c>
      <c r="D160" t="s">
        <v>1498</v>
      </c>
      <c r="E160" t="s">
        <v>543</v>
      </c>
      <c r="F160">
        <f>ROUND(B160*基本資料!$B$11,0)</f>
        <v>2422</v>
      </c>
      <c r="G160">
        <f>基本資料!$B$12*(IF(ISNUMBER(SEARCH("Y",C160)),1,0)+IF(ISNUMBER(SEARCH("Y",D160)),1,0)+IF(ISNUMBER(SEARCH("Y-MC",C160)),1,0))</f>
        <v>300</v>
      </c>
    </row>
    <row r="161" spans="1:7">
      <c r="A161" t="s">
        <v>179</v>
      </c>
      <c r="B161">
        <v>40.36</v>
      </c>
      <c r="C161" t="s">
        <v>1497</v>
      </c>
      <c r="D161" t="s">
        <v>1498</v>
      </c>
      <c r="E161" t="s">
        <v>544</v>
      </c>
      <c r="F161">
        <f>ROUND(B161*基本資料!$B$11,0)</f>
        <v>2422</v>
      </c>
      <c r="G161">
        <f>基本資料!$B$12*(IF(ISNUMBER(SEARCH("Y",C161)),1,0)+IF(ISNUMBER(SEARCH("Y",D161)),1,0)+IF(ISNUMBER(SEARCH("Y-MC",C161)),1,0))</f>
        <v>300</v>
      </c>
    </row>
    <row r="162" spans="1:7">
      <c r="A162" t="s">
        <v>180</v>
      </c>
      <c r="B162">
        <v>40.36</v>
      </c>
      <c r="C162" t="s">
        <v>1497</v>
      </c>
      <c r="D162" t="s">
        <v>1498</v>
      </c>
      <c r="E162" t="s">
        <v>545</v>
      </c>
      <c r="F162">
        <f>ROUND(B162*基本資料!$B$11,0)</f>
        <v>2422</v>
      </c>
      <c r="G162">
        <f>基本資料!$B$12*(IF(ISNUMBER(SEARCH("Y",C162)),1,0)+IF(ISNUMBER(SEARCH("Y",D162)),1,0)+IF(ISNUMBER(SEARCH("Y-MC",C162)),1,0))</f>
        <v>300</v>
      </c>
    </row>
    <row r="163" spans="1:7">
      <c r="A163" t="s">
        <v>181</v>
      </c>
      <c r="B163">
        <v>41.14</v>
      </c>
      <c r="C163" t="s">
        <v>1497</v>
      </c>
      <c r="D163" t="s">
        <v>1498</v>
      </c>
      <c r="E163" t="s">
        <v>546</v>
      </c>
      <c r="F163">
        <f>ROUND(B163*基本資料!$B$11,0)</f>
        <v>2468</v>
      </c>
      <c r="G163">
        <f>基本資料!$B$12*(IF(ISNUMBER(SEARCH("Y",C163)),1,0)+IF(ISNUMBER(SEARCH("Y",D163)),1,0)+IF(ISNUMBER(SEARCH("Y-MC",C163)),1,0))</f>
        <v>300</v>
      </c>
    </row>
    <row r="164" spans="1:7">
      <c r="A164" t="s">
        <v>182</v>
      </c>
      <c r="B164">
        <v>41.77</v>
      </c>
      <c r="C164" t="s">
        <v>1497</v>
      </c>
      <c r="D164" t="s">
        <v>1498</v>
      </c>
      <c r="E164" t="s">
        <v>547</v>
      </c>
      <c r="F164">
        <f>ROUND(B164*基本資料!$B$11,0)</f>
        <v>2506</v>
      </c>
      <c r="G164">
        <f>基本資料!$B$12*(IF(ISNUMBER(SEARCH("Y",C164)),1,0)+IF(ISNUMBER(SEARCH("Y",D164)),1,0)+IF(ISNUMBER(SEARCH("Y-MC",C164)),1,0))</f>
        <v>300</v>
      </c>
    </row>
    <row r="165" spans="1:7">
      <c r="A165" t="s">
        <v>183</v>
      </c>
      <c r="B165">
        <v>41.77</v>
      </c>
      <c r="C165" t="s">
        <v>1497</v>
      </c>
      <c r="D165" t="s">
        <v>1498</v>
      </c>
      <c r="E165" t="s">
        <v>548</v>
      </c>
      <c r="F165">
        <f>ROUND(B165*基本資料!$B$11,0)</f>
        <v>2506</v>
      </c>
      <c r="G165">
        <f>基本資料!$B$12*(IF(ISNUMBER(SEARCH("Y",C165)),1,0)+IF(ISNUMBER(SEARCH("Y",D165)),1,0)+IF(ISNUMBER(SEARCH("Y-MC",C165)),1,0))</f>
        <v>300</v>
      </c>
    </row>
    <row r="166" spans="1:7">
      <c r="A166" t="s">
        <v>184</v>
      </c>
      <c r="B166">
        <v>41.77</v>
      </c>
      <c r="C166" t="s">
        <v>1497</v>
      </c>
      <c r="D166" t="s">
        <v>1498</v>
      </c>
      <c r="E166" t="s">
        <v>549</v>
      </c>
      <c r="F166">
        <f>ROUND(B166*基本資料!$B$11,0)</f>
        <v>2506</v>
      </c>
      <c r="G166">
        <f>基本資料!$B$12*(IF(ISNUMBER(SEARCH("Y",C166)),1,0)+IF(ISNUMBER(SEARCH("Y",D166)),1,0)+IF(ISNUMBER(SEARCH("Y-MC",C166)),1,0))</f>
        <v>300</v>
      </c>
    </row>
    <row r="167" spans="1:7">
      <c r="A167" t="s">
        <v>185</v>
      </c>
      <c r="B167">
        <v>41.77</v>
      </c>
      <c r="C167" t="s">
        <v>1497</v>
      </c>
      <c r="D167" t="s">
        <v>1498</v>
      </c>
      <c r="E167" t="s">
        <v>550</v>
      </c>
      <c r="F167">
        <f>ROUND(B167*基本資料!$B$11,0)</f>
        <v>2506</v>
      </c>
      <c r="G167">
        <f>基本資料!$B$12*(IF(ISNUMBER(SEARCH("Y",C167)),1,0)+IF(ISNUMBER(SEARCH("Y",D167)),1,0)+IF(ISNUMBER(SEARCH("Y-MC",C167)),1,0))</f>
        <v>300</v>
      </c>
    </row>
    <row r="168" spans="1:7">
      <c r="A168" t="s">
        <v>186</v>
      </c>
      <c r="B168">
        <v>41.77</v>
      </c>
      <c r="C168" t="s">
        <v>1497</v>
      </c>
      <c r="D168" t="s">
        <v>1498</v>
      </c>
      <c r="E168" t="s">
        <v>551</v>
      </c>
      <c r="F168">
        <f>ROUND(B168*基本資料!$B$11,0)</f>
        <v>2506</v>
      </c>
      <c r="G168">
        <f>基本資料!$B$12*(IF(ISNUMBER(SEARCH("Y",C168)),1,0)+IF(ISNUMBER(SEARCH("Y",D168)),1,0)+IF(ISNUMBER(SEARCH("Y-MC",C168)),1,0))</f>
        <v>300</v>
      </c>
    </row>
    <row r="169" spans="1:7">
      <c r="A169" t="s">
        <v>187</v>
      </c>
      <c r="B169">
        <v>41.77</v>
      </c>
      <c r="C169" t="s">
        <v>1497</v>
      </c>
      <c r="D169" t="s">
        <v>1498</v>
      </c>
      <c r="E169" t="s">
        <v>552</v>
      </c>
      <c r="F169">
        <f>ROUND(B169*基本資料!$B$11,0)</f>
        <v>2506</v>
      </c>
      <c r="G169">
        <f>基本資料!$B$12*(IF(ISNUMBER(SEARCH("Y",C169)),1,0)+IF(ISNUMBER(SEARCH("Y",D169)),1,0)+IF(ISNUMBER(SEARCH("Y-MC",C169)),1,0))</f>
        <v>300</v>
      </c>
    </row>
    <row r="170" spans="1:7">
      <c r="A170" t="s">
        <v>188</v>
      </c>
      <c r="B170">
        <v>41.77</v>
      </c>
      <c r="C170" t="s">
        <v>1497</v>
      </c>
      <c r="D170" t="s">
        <v>1498</v>
      </c>
      <c r="E170" t="s">
        <v>553</v>
      </c>
      <c r="F170">
        <f>ROUND(B170*基本資料!$B$11,0)</f>
        <v>2506</v>
      </c>
      <c r="G170">
        <f>基本資料!$B$12*(IF(ISNUMBER(SEARCH("Y",C170)),1,0)+IF(ISNUMBER(SEARCH("Y",D170)),1,0)+IF(ISNUMBER(SEARCH("Y-MC",C170)),1,0))</f>
        <v>300</v>
      </c>
    </row>
    <row r="171" spans="1:7">
      <c r="A171" t="s">
        <v>189</v>
      </c>
      <c r="B171">
        <v>41.77</v>
      </c>
      <c r="C171" t="s">
        <v>1497</v>
      </c>
      <c r="D171" t="s">
        <v>1498</v>
      </c>
      <c r="E171" t="s">
        <v>554</v>
      </c>
      <c r="F171">
        <f>ROUND(B171*基本資料!$B$11,0)</f>
        <v>2506</v>
      </c>
      <c r="G171">
        <f>基本資料!$B$12*(IF(ISNUMBER(SEARCH("Y",C171)),1,0)+IF(ISNUMBER(SEARCH("Y",D171)),1,0)+IF(ISNUMBER(SEARCH("Y-MC",C171)),1,0))</f>
        <v>300</v>
      </c>
    </row>
    <row r="172" spans="1:7">
      <c r="A172" t="s">
        <v>190</v>
      </c>
      <c r="B172">
        <v>41.77</v>
      </c>
      <c r="C172" t="s">
        <v>1497</v>
      </c>
      <c r="D172" t="s">
        <v>1498</v>
      </c>
      <c r="E172" t="s">
        <v>555</v>
      </c>
      <c r="F172">
        <f>ROUND(B172*基本資料!$B$11,0)</f>
        <v>2506</v>
      </c>
      <c r="G172">
        <f>基本資料!$B$12*(IF(ISNUMBER(SEARCH("Y",C172)),1,0)+IF(ISNUMBER(SEARCH("Y",D172)),1,0)+IF(ISNUMBER(SEARCH("Y-MC",C172)),1,0))</f>
        <v>300</v>
      </c>
    </row>
    <row r="173" spans="1:7">
      <c r="A173" t="s">
        <v>191</v>
      </c>
      <c r="B173">
        <v>41.77</v>
      </c>
      <c r="C173" t="s">
        <v>1497</v>
      </c>
      <c r="D173" t="s">
        <v>1498</v>
      </c>
      <c r="E173" t="s">
        <v>556</v>
      </c>
      <c r="F173">
        <f>ROUND(B173*基本資料!$B$11,0)</f>
        <v>2506</v>
      </c>
      <c r="G173">
        <f>基本資料!$B$12*(IF(ISNUMBER(SEARCH("Y",C173)),1,0)+IF(ISNUMBER(SEARCH("Y",D173)),1,0)+IF(ISNUMBER(SEARCH("Y-MC",C173)),1,0))</f>
        <v>300</v>
      </c>
    </row>
    <row r="174" spans="1:7">
      <c r="A174" t="s">
        <v>192</v>
      </c>
      <c r="B174">
        <v>41.77</v>
      </c>
      <c r="C174" t="s">
        <v>1497</v>
      </c>
      <c r="D174" t="s">
        <v>1498</v>
      </c>
      <c r="E174" t="s">
        <v>557</v>
      </c>
      <c r="F174">
        <f>ROUND(B174*基本資料!$B$11,0)</f>
        <v>2506</v>
      </c>
      <c r="G174">
        <f>基本資料!$B$12*(IF(ISNUMBER(SEARCH("Y",C174)),1,0)+IF(ISNUMBER(SEARCH("Y",D174)),1,0)+IF(ISNUMBER(SEARCH("Y-MC",C174)),1,0))</f>
        <v>300</v>
      </c>
    </row>
    <row r="175" spans="1:7">
      <c r="A175" t="s">
        <v>193</v>
      </c>
      <c r="B175">
        <v>41.77</v>
      </c>
      <c r="C175" t="s">
        <v>1497</v>
      </c>
      <c r="D175" t="s">
        <v>1498</v>
      </c>
      <c r="E175" t="s">
        <v>558</v>
      </c>
      <c r="F175">
        <f>ROUND(B175*基本資料!$B$11,0)</f>
        <v>2506</v>
      </c>
      <c r="G175">
        <f>基本資料!$B$12*(IF(ISNUMBER(SEARCH("Y",C175)),1,0)+IF(ISNUMBER(SEARCH("Y",D175)),1,0)+IF(ISNUMBER(SEARCH("Y-MC",C175)),1,0))</f>
        <v>300</v>
      </c>
    </row>
    <row r="176" spans="1:7">
      <c r="A176" t="s">
        <v>194</v>
      </c>
      <c r="B176">
        <v>41.77</v>
      </c>
      <c r="C176" t="s">
        <v>1497</v>
      </c>
      <c r="D176" t="s">
        <v>1498</v>
      </c>
      <c r="E176" t="s">
        <v>559</v>
      </c>
      <c r="F176">
        <f>ROUND(B176*基本資料!$B$11,0)</f>
        <v>2506</v>
      </c>
      <c r="G176">
        <f>基本資料!$B$12*(IF(ISNUMBER(SEARCH("Y",C176)),1,0)+IF(ISNUMBER(SEARCH("Y",D176)),1,0)+IF(ISNUMBER(SEARCH("Y-MC",C176)),1,0))</f>
        <v>300</v>
      </c>
    </row>
    <row r="177" spans="1:7">
      <c r="A177" t="s">
        <v>195</v>
      </c>
      <c r="B177">
        <v>41.77</v>
      </c>
      <c r="C177" t="s">
        <v>1497</v>
      </c>
      <c r="D177" t="s">
        <v>1498</v>
      </c>
      <c r="E177" t="s">
        <v>560</v>
      </c>
      <c r="F177">
        <f>ROUND(B177*基本資料!$B$11,0)</f>
        <v>2506</v>
      </c>
      <c r="G177">
        <f>基本資料!$B$12*(IF(ISNUMBER(SEARCH("Y",C177)),1,0)+IF(ISNUMBER(SEARCH("Y",D177)),1,0)+IF(ISNUMBER(SEARCH("Y-MC",C177)),1,0))</f>
        <v>300</v>
      </c>
    </row>
    <row r="178" spans="1:7">
      <c r="A178" t="s">
        <v>196</v>
      </c>
      <c r="B178">
        <v>22.85</v>
      </c>
      <c r="C178" t="s">
        <v>1497</v>
      </c>
      <c r="D178" t="s">
        <v>1498</v>
      </c>
      <c r="E178" t="s">
        <v>561</v>
      </c>
      <c r="F178">
        <f>ROUND(B178*基本資料!$B$11,0)</f>
        <v>1371</v>
      </c>
      <c r="G178">
        <f>基本資料!$B$12*(IF(ISNUMBER(SEARCH("Y",C178)),1,0)+IF(ISNUMBER(SEARCH("Y",D178)),1,0)+IF(ISNUMBER(SEARCH("Y-MC",C178)),1,0))</f>
        <v>300</v>
      </c>
    </row>
    <row r="179" spans="1:7">
      <c r="A179" t="s">
        <v>197</v>
      </c>
      <c r="B179">
        <v>22.85</v>
      </c>
      <c r="C179" t="s">
        <v>1497</v>
      </c>
      <c r="D179" t="s">
        <v>1498</v>
      </c>
      <c r="E179" t="s">
        <v>562</v>
      </c>
      <c r="F179">
        <f>ROUND(B179*基本資料!$B$11,0)</f>
        <v>1371</v>
      </c>
      <c r="G179">
        <f>基本資料!$B$12*(IF(ISNUMBER(SEARCH("Y",C179)),1,0)+IF(ISNUMBER(SEARCH("Y",D179)),1,0)+IF(ISNUMBER(SEARCH("Y-MC",C179)),1,0))</f>
        <v>300</v>
      </c>
    </row>
    <row r="180" spans="1:7">
      <c r="A180" t="s">
        <v>198</v>
      </c>
      <c r="B180">
        <v>22.85</v>
      </c>
      <c r="C180" t="s">
        <v>1497</v>
      </c>
      <c r="D180" t="s">
        <v>1498</v>
      </c>
      <c r="E180" t="s">
        <v>563</v>
      </c>
      <c r="F180">
        <f>ROUND(B180*基本資料!$B$11,0)</f>
        <v>1371</v>
      </c>
      <c r="G180">
        <f>基本資料!$B$12*(IF(ISNUMBER(SEARCH("Y",C180)),1,0)+IF(ISNUMBER(SEARCH("Y",D180)),1,0)+IF(ISNUMBER(SEARCH("Y-MC",C180)),1,0))</f>
        <v>300</v>
      </c>
    </row>
    <row r="181" spans="1:7">
      <c r="A181" t="s">
        <v>199</v>
      </c>
      <c r="B181">
        <v>22.85</v>
      </c>
      <c r="C181" t="s">
        <v>1498</v>
      </c>
      <c r="D181" t="s">
        <v>1498</v>
      </c>
      <c r="E181" t="s">
        <v>564</v>
      </c>
      <c r="F181">
        <f>ROUND(B181*基本資料!$B$11,0)</f>
        <v>1371</v>
      </c>
      <c r="G181">
        <f>基本資料!$B$12*(IF(ISNUMBER(SEARCH("Y",C181)),1,0)+IF(ISNUMBER(SEARCH("Y",D181)),1,0)+IF(ISNUMBER(SEARCH("Y-MC",C181)),1,0))</f>
        <v>0</v>
      </c>
    </row>
    <row r="182" spans="1:7">
      <c r="A182" t="s">
        <v>200</v>
      </c>
      <c r="B182">
        <v>22.85</v>
      </c>
      <c r="C182" t="s">
        <v>1498</v>
      </c>
      <c r="D182" t="s">
        <v>1498</v>
      </c>
      <c r="E182" t="s">
        <v>565</v>
      </c>
      <c r="F182">
        <f>ROUND(B182*基本資料!$B$11,0)</f>
        <v>1371</v>
      </c>
      <c r="G182">
        <f>基本資料!$B$12*(IF(ISNUMBER(SEARCH("Y",C182)),1,0)+IF(ISNUMBER(SEARCH("Y",D182)),1,0)+IF(ISNUMBER(SEARCH("Y-MC",C182)),1,0))</f>
        <v>0</v>
      </c>
    </row>
    <row r="183" spans="1:7">
      <c r="A183" t="s">
        <v>201</v>
      </c>
      <c r="B183">
        <v>22.85</v>
      </c>
      <c r="C183" t="s">
        <v>1498</v>
      </c>
      <c r="D183" t="s">
        <v>1498</v>
      </c>
      <c r="E183" t="s">
        <v>566</v>
      </c>
      <c r="F183">
        <f>ROUND(B183*基本資料!$B$11,0)</f>
        <v>1371</v>
      </c>
      <c r="G183">
        <f>基本資料!$B$12*(IF(ISNUMBER(SEARCH("Y",C183)),1,0)+IF(ISNUMBER(SEARCH("Y",D183)),1,0)+IF(ISNUMBER(SEARCH("Y-MC",C183)),1,0))</f>
        <v>0</v>
      </c>
    </row>
    <row r="184" spans="1:7">
      <c r="A184" t="s">
        <v>202</v>
      </c>
      <c r="B184">
        <v>22.85</v>
      </c>
      <c r="C184" t="s">
        <v>1498</v>
      </c>
      <c r="D184" t="s">
        <v>1498</v>
      </c>
      <c r="E184" t="s">
        <v>567</v>
      </c>
      <c r="F184">
        <f>ROUND(B184*基本資料!$B$11,0)</f>
        <v>1371</v>
      </c>
      <c r="G184">
        <f>基本資料!$B$12*(IF(ISNUMBER(SEARCH("Y",C184)),1,0)+IF(ISNUMBER(SEARCH("Y",D184)),1,0)+IF(ISNUMBER(SEARCH("Y-MC",C184)),1,0))</f>
        <v>0</v>
      </c>
    </row>
    <row r="185" spans="1:7">
      <c r="A185" t="s">
        <v>203</v>
      </c>
      <c r="B185">
        <v>22.85</v>
      </c>
      <c r="C185" t="s">
        <v>1497</v>
      </c>
      <c r="D185" t="s">
        <v>1498</v>
      </c>
      <c r="E185" t="s">
        <v>568</v>
      </c>
      <c r="F185">
        <f>ROUND(B185*基本資料!$B$11,0)</f>
        <v>1371</v>
      </c>
      <c r="G185">
        <f>基本資料!$B$12*(IF(ISNUMBER(SEARCH("Y",C185)),1,0)+IF(ISNUMBER(SEARCH("Y",D185)),1,0)+IF(ISNUMBER(SEARCH("Y-MC",C185)),1,0))</f>
        <v>300</v>
      </c>
    </row>
    <row r="186" spans="1:7">
      <c r="A186" t="s">
        <v>204</v>
      </c>
      <c r="B186">
        <v>22.85</v>
      </c>
      <c r="C186" t="s">
        <v>1497</v>
      </c>
      <c r="D186" t="s">
        <v>1498</v>
      </c>
      <c r="E186" t="s">
        <v>569</v>
      </c>
      <c r="F186">
        <f>ROUND(B186*基本資料!$B$11,0)</f>
        <v>1371</v>
      </c>
      <c r="G186">
        <f>基本資料!$B$12*(IF(ISNUMBER(SEARCH("Y",C186)),1,0)+IF(ISNUMBER(SEARCH("Y",D186)),1,0)+IF(ISNUMBER(SEARCH("Y-MC",C186)),1,0))</f>
        <v>300</v>
      </c>
    </row>
    <row r="187" spans="1:7">
      <c r="A187" t="s">
        <v>205</v>
      </c>
      <c r="B187">
        <v>22.85</v>
      </c>
      <c r="C187" t="s">
        <v>1497</v>
      </c>
      <c r="D187" t="s">
        <v>1498</v>
      </c>
      <c r="E187" t="s">
        <v>570</v>
      </c>
      <c r="F187">
        <f>ROUND(B187*基本資料!$B$11,0)</f>
        <v>1371</v>
      </c>
      <c r="G187">
        <f>基本資料!$B$12*(IF(ISNUMBER(SEARCH("Y",C187)),1,0)+IF(ISNUMBER(SEARCH("Y",D187)),1,0)+IF(ISNUMBER(SEARCH("Y-MC",C187)),1,0))</f>
        <v>300</v>
      </c>
    </row>
    <row r="188" spans="1:7">
      <c r="A188" t="s">
        <v>206</v>
      </c>
      <c r="B188">
        <v>22.85</v>
      </c>
      <c r="C188" t="s">
        <v>1497</v>
      </c>
      <c r="D188" t="s">
        <v>1498</v>
      </c>
      <c r="E188" t="s">
        <v>571</v>
      </c>
      <c r="F188">
        <f>ROUND(B188*基本資料!$B$11,0)</f>
        <v>1371</v>
      </c>
      <c r="G188">
        <f>基本資料!$B$12*(IF(ISNUMBER(SEARCH("Y",C188)),1,0)+IF(ISNUMBER(SEARCH("Y",D188)),1,0)+IF(ISNUMBER(SEARCH("Y-MC",C188)),1,0))</f>
        <v>300</v>
      </c>
    </row>
    <row r="189" spans="1:7">
      <c r="A189" t="s">
        <v>207</v>
      </c>
      <c r="B189">
        <v>22.85</v>
      </c>
      <c r="C189" t="s">
        <v>1498</v>
      </c>
      <c r="D189" t="s">
        <v>1498</v>
      </c>
      <c r="E189" t="s">
        <v>572</v>
      </c>
      <c r="F189">
        <f>ROUND(B189*基本資料!$B$11,0)</f>
        <v>1371</v>
      </c>
      <c r="G189">
        <f>基本資料!$B$12*(IF(ISNUMBER(SEARCH("Y",C189)),1,0)+IF(ISNUMBER(SEARCH("Y",D189)),1,0)+IF(ISNUMBER(SEARCH("Y-MC",C189)),1,0))</f>
        <v>0</v>
      </c>
    </row>
    <row r="190" spans="1:7">
      <c r="A190" t="s">
        <v>208</v>
      </c>
      <c r="B190">
        <v>22.85</v>
      </c>
      <c r="C190" t="s">
        <v>1498</v>
      </c>
      <c r="D190" t="s">
        <v>1498</v>
      </c>
      <c r="E190" t="s">
        <v>573</v>
      </c>
      <c r="F190">
        <f>ROUND(B190*基本資料!$B$11,0)</f>
        <v>1371</v>
      </c>
      <c r="G190">
        <f>基本資料!$B$12*(IF(ISNUMBER(SEARCH("Y",C190)),1,0)+IF(ISNUMBER(SEARCH("Y",D190)),1,0)+IF(ISNUMBER(SEARCH("Y-MC",C190)),1,0))</f>
        <v>0</v>
      </c>
    </row>
    <row r="191" spans="1:7">
      <c r="A191" t="s">
        <v>209</v>
      </c>
      <c r="B191">
        <v>22.85</v>
      </c>
      <c r="C191" t="s">
        <v>1497</v>
      </c>
      <c r="D191" t="s">
        <v>1498</v>
      </c>
      <c r="E191" t="s">
        <v>574</v>
      </c>
      <c r="F191">
        <f>ROUND(B191*基本資料!$B$11,0)</f>
        <v>1371</v>
      </c>
      <c r="G191">
        <f>基本資料!$B$12*(IF(ISNUMBER(SEARCH("Y",C191)),1,0)+IF(ISNUMBER(SEARCH("Y",D191)),1,0)+IF(ISNUMBER(SEARCH("Y-MC",C191)),1,0))</f>
        <v>300</v>
      </c>
    </row>
    <row r="192" spans="1:7">
      <c r="A192" t="s">
        <v>210</v>
      </c>
      <c r="B192">
        <v>41.16</v>
      </c>
      <c r="C192" t="s">
        <v>1497</v>
      </c>
      <c r="D192" t="s">
        <v>1498</v>
      </c>
      <c r="E192" t="s">
        <v>575</v>
      </c>
      <c r="F192">
        <f>ROUND(B192*基本資料!$B$11,0)</f>
        <v>2470</v>
      </c>
      <c r="G192">
        <f>基本資料!$B$12*(IF(ISNUMBER(SEARCH("Y",C192)),1,0)+IF(ISNUMBER(SEARCH("Y",D192)),1,0)+IF(ISNUMBER(SEARCH("Y-MC",C192)),1,0))</f>
        <v>300</v>
      </c>
    </row>
    <row r="193" spans="1:7">
      <c r="A193" t="s">
        <v>211</v>
      </c>
      <c r="B193">
        <v>41.3</v>
      </c>
      <c r="C193" t="s">
        <v>1497</v>
      </c>
      <c r="D193" t="s">
        <v>1498</v>
      </c>
      <c r="E193" t="s">
        <v>576</v>
      </c>
      <c r="F193">
        <f>ROUND(B193*基本資料!$B$11,0)</f>
        <v>2478</v>
      </c>
      <c r="G193">
        <f>基本資料!$B$12*(IF(ISNUMBER(SEARCH("Y",C193)),1,0)+IF(ISNUMBER(SEARCH("Y",D193)),1,0)+IF(ISNUMBER(SEARCH("Y-MC",C193)),1,0))</f>
        <v>300</v>
      </c>
    </row>
    <row r="194" spans="1:7">
      <c r="A194" t="s">
        <v>212</v>
      </c>
      <c r="B194">
        <v>41.3</v>
      </c>
      <c r="C194" t="s">
        <v>1497</v>
      </c>
      <c r="D194" t="s">
        <v>1498</v>
      </c>
      <c r="E194" t="s">
        <v>577</v>
      </c>
      <c r="F194">
        <f>ROUND(B194*基本資料!$B$11,0)</f>
        <v>2478</v>
      </c>
      <c r="G194">
        <f>基本資料!$B$12*(IF(ISNUMBER(SEARCH("Y",C194)),1,0)+IF(ISNUMBER(SEARCH("Y",D194)),1,0)+IF(ISNUMBER(SEARCH("Y-MC",C194)),1,0))</f>
        <v>300</v>
      </c>
    </row>
    <row r="195" spans="1:7">
      <c r="A195" t="s">
        <v>213</v>
      </c>
      <c r="B195">
        <v>41.3</v>
      </c>
      <c r="C195" t="s">
        <v>1497</v>
      </c>
      <c r="D195" t="s">
        <v>1498</v>
      </c>
      <c r="E195" t="s">
        <v>578</v>
      </c>
      <c r="F195">
        <f>ROUND(B195*基本資料!$B$11,0)</f>
        <v>2478</v>
      </c>
      <c r="G195">
        <f>基本資料!$B$12*(IF(ISNUMBER(SEARCH("Y",C195)),1,0)+IF(ISNUMBER(SEARCH("Y",D195)),1,0)+IF(ISNUMBER(SEARCH("Y-MC",C195)),1,0))</f>
        <v>300</v>
      </c>
    </row>
    <row r="196" spans="1:7">
      <c r="A196" t="s">
        <v>214</v>
      </c>
      <c r="B196">
        <v>41.3</v>
      </c>
      <c r="C196" t="s">
        <v>1497</v>
      </c>
      <c r="D196" t="s">
        <v>1498</v>
      </c>
      <c r="E196" t="s">
        <v>579</v>
      </c>
      <c r="F196">
        <f>ROUND(B196*基本資料!$B$11,0)</f>
        <v>2478</v>
      </c>
      <c r="G196">
        <f>基本資料!$B$12*(IF(ISNUMBER(SEARCH("Y",C196)),1,0)+IF(ISNUMBER(SEARCH("Y",D196)),1,0)+IF(ISNUMBER(SEARCH("Y-MC",C196)),1,0))</f>
        <v>300</v>
      </c>
    </row>
    <row r="197" spans="1:7">
      <c r="A197" t="s">
        <v>215</v>
      </c>
      <c r="B197">
        <v>41.3</v>
      </c>
      <c r="C197" t="s">
        <v>1497</v>
      </c>
      <c r="D197" t="s">
        <v>1498</v>
      </c>
      <c r="E197" t="s">
        <v>580</v>
      </c>
      <c r="F197">
        <f>ROUND(B197*基本資料!$B$11,0)</f>
        <v>2478</v>
      </c>
      <c r="G197">
        <f>基本資料!$B$12*(IF(ISNUMBER(SEARCH("Y",C197)),1,0)+IF(ISNUMBER(SEARCH("Y",D197)),1,0)+IF(ISNUMBER(SEARCH("Y-MC",C197)),1,0))</f>
        <v>300</v>
      </c>
    </row>
    <row r="198" spans="1:7">
      <c r="A198" t="s">
        <v>216</v>
      </c>
      <c r="B198">
        <v>41.3</v>
      </c>
      <c r="C198" t="s">
        <v>1497</v>
      </c>
      <c r="D198" t="s">
        <v>1498</v>
      </c>
      <c r="E198" t="s">
        <v>581</v>
      </c>
      <c r="F198">
        <f>ROUND(B198*基本資料!$B$11,0)</f>
        <v>2478</v>
      </c>
      <c r="G198">
        <f>基本資料!$B$12*(IF(ISNUMBER(SEARCH("Y",C198)),1,0)+IF(ISNUMBER(SEARCH("Y",D198)),1,0)+IF(ISNUMBER(SEARCH("Y-MC",C198)),1,0))</f>
        <v>300</v>
      </c>
    </row>
    <row r="199" spans="1:7">
      <c r="A199" t="s">
        <v>217</v>
      </c>
      <c r="B199">
        <v>41.3</v>
      </c>
      <c r="C199" t="s">
        <v>1497</v>
      </c>
      <c r="D199" t="s">
        <v>1498</v>
      </c>
      <c r="E199" t="s">
        <v>582</v>
      </c>
      <c r="F199">
        <f>ROUND(B199*基本資料!$B$11,0)</f>
        <v>2478</v>
      </c>
      <c r="G199">
        <f>基本資料!$B$12*(IF(ISNUMBER(SEARCH("Y",C199)),1,0)+IF(ISNUMBER(SEARCH("Y",D199)),1,0)+IF(ISNUMBER(SEARCH("Y-MC",C199)),1,0))</f>
        <v>300</v>
      </c>
    </row>
    <row r="200" spans="1:7">
      <c r="A200" t="s">
        <v>218</v>
      </c>
      <c r="B200">
        <v>41.3</v>
      </c>
      <c r="C200" t="s">
        <v>1497</v>
      </c>
      <c r="D200" t="s">
        <v>1498</v>
      </c>
      <c r="E200" t="s">
        <v>583</v>
      </c>
      <c r="F200">
        <f>ROUND(B200*基本資料!$B$11,0)</f>
        <v>2478</v>
      </c>
      <c r="G200">
        <f>基本資料!$B$12*(IF(ISNUMBER(SEARCH("Y",C200)),1,0)+IF(ISNUMBER(SEARCH("Y",D200)),1,0)+IF(ISNUMBER(SEARCH("Y-MC",C200)),1,0))</f>
        <v>300</v>
      </c>
    </row>
    <row r="201" spans="1:7">
      <c r="A201" t="s">
        <v>219</v>
      </c>
      <c r="B201">
        <v>41.3</v>
      </c>
      <c r="C201" t="s">
        <v>1497</v>
      </c>
      <c r="D201" t="s">
        <v>1498</v>
      </c>
      <c r="E201" t="s">
        <v>584</v>
      </c>
      <c r="F201">
        <f>ROUND(B201*基本資料!$B$11,0)</f>
        <v>2478</v>
      </c>
      <c r="G201">
        <f>基本資料!$B$12*(IF(ISNUMBER(SEARCH("Y",C201)),1,0)+IF(ISNUMBER(SEARCH("Y",D201)),1,0)+IF(ISNUMBER(SEARCH("Y-MC",C201)),1,0))</f>
        <v>300</v>
      </c>
    </row>
    <row r="202" spans="1:7">
      <c r="A202" t="s">
        <v>220</v>
      </c>
      <c r="B202">
        <v>41.3</v>
      </c>
      <c r="C202" t="s">
        <v>1497</v>
      </c>
      <c r="D202" t="s">
        <v>1498</v>
      </c>
      <c r="E202" t="s">
        <v>585</v>
      </c>
      <c r="F202">
        <f>ROUND(B202*基本資料!$B$11,0)</f>
        <v>2478</v>
      </c>
      <c r="G202">
        <f>基本資料!$B$12*(IF(ISNUMBER(SEARCH("Y",C202)),1,0)+IF(ISNUMBER(SEARCH("Y",D202)),1,0)+IF(ISNUMBER(SEARCH("Y-MC",C202)),1,0))</f>
        <v>300</v>
      </c>
    </row>
    <row r="203" spans="1:7">
      <c r="A203" t="s">
        <v>221</v>
      </c>
      <c r="B203">
        <v>41.3</v>
      </c>
      <c r="C203" t="s">
        <v>1497</v>
      </c>
      <c r="D203" t="s">
        <v>1498</v>
      </c>
      <c r="E203" t="s">
        <v>586</v>
      </c>
      <c r="F203">
        <f>ROUND(B203*基本資料!$B$11,0)</f>
        <v>2478</v>
      </c>
      <c r="G203">
        <f>基本資料!$B$12*(IF(ISNUMBER(SEARCH("Y",C203)),1,0)+IF(ISNUMBER(SEARCH("Y",D203)),1,0)+IF(ISNUMBER(SEARCH("Y-MC",C203)),1,0))</f>
        <v>300</v>
      </c>
    </row>
    <row r="204" spans="1:7">
      <c r="A204" t="s">
        <v>222</v>
      </c>
      <c r="B204">
        <v>41.3</v>
      </c>
      <c r="C204" t="s">
        <v>1497</v>
      </c>
      <c r="D204" t="s">
        <v>1498</v>
      </c>
      <c r="E204" t="s">
        <v>587</v>
      </c>
      <c r="F204">
        <f>ROUND(B204*基本資料!$B$11,0)</f>
        <v>2478</v>
      </c>
      <c r="G204">
        <f>基本資料!$B$12*(IF(ISNUMBER(SEARCH("Y",C204)),1,0)+IF(ISNUMBER(SEARCH("Y",D204)),1,0)+IF(ISNUMBER(SEARCH("Y-MC",C204)),1,0))</f>
        <v>300</v>
      </c>
    </row>
    <row r="205" spans="1:7">
      <c r="A205" t="s">
        <v>223</v>
      </c>
      <c r="B205">
        <v>41.3</v>
      </c>
      <c r="C205" t="s">
        <v>1497</v>
      </c>
      <c r="D205" t="s">
        <v>1498</v>
      </c>
      <c r="E205" t="s">
        <v>588</v>
      </c>
      <c r="F205">
        <f>ROUND(B205*基本資料!$B$11,0)</f>
        <v>2478</v>
      </c>
      <c r="G205">
        <f>基本資料!$B$12*(IF(ISNUMBER(SEARCH("Y",C205)),1,0)+IF(ISNUMBER(SEARCH("Y",D205)),1,0)+IF(ISNUMBER(SEARCH("Y-MC",C205)),1,0))</f>
        <v>300</v>
      </c>
    </row>
    <row r="206" spans="1:7">
      <c r="A206" t="s">
        <v>224</v>
      </c>
      <c r="B206">
        <v>41.3</v>
      </c>
      <c r="C206" t="s">
        <v>1497</v>
      </c>
      <c r="D206" t="s">
        <v>1498</v>
      </c>
      <c r="E206" t="s">
        <v>589</v>
      </c>
      <c r="F206">
        <f>ROUND(B206*基本資料!$B$11,0)</f>
        <v>2478</v>
      </c>
      <c r="G206">
        <f>基本資料!$B$12*(IF(ISNUMBER(SEARCH("Y",C206)),1,0)+IF(ISNUMBER(SEARCH("Y",D206)),1,0)+IF(ISNUMBER(SEARCH("Y-MC",C206)),1,0))</f>
        <v>300</v>
      </c>
    </row>
    <row r="207" spans="1:7">
      <c r="A207" t="s">
        <v>225</v>
      </c>
      <c r="B207">
        <v>44.76</v>
      </c>
      <c r="C207" t="s">
        <v>1497</v>
      </c>
      <c r="D207" t="s">
        <v>1498</v>
      </c>
      <c r="E207" t="s">
        <v>590</v>
      </c>
      <c r="F207">
        <f>ROUND(B207*基本資料!$B$11,0)</f>
        <v>2686</v>
      </c>
      <c r="G207">
        <f>基本資料!$B$12*(IF(ISNUMBER(SEARCH("Y",C207)),1,0)+IF(ISNUMBER(SEARCH("Y",D207)),1,0)+IF(ISNUMBER(SEARCH("Y-MC",C207)),1,0))</f>
        <v>300</v>
      </c>
    </row>
    <row r="208" spans="1:7">
      <c r="A208" t="s">
        <v>14</v>
      </c>
      <c r="B208">
        <v>44.76</v>
      </c>
      <c r="C208" t="s">
        <v>1497</v>
      </c>
      <c r="D208" t="s">
        <v>1498</v>
      </c>
      <c r="E208" t="s">
        <v>591</v>
      </c>
      <c r="F208">
        <f>ROUND(B208*基本資料!$B$11,0)</f>
        <v>2686</v>
      </c>
      <c r="G208">
        <f>基本資料!$B$12*(IF(ISNUMBER(SEARCH("Y",C208)),1,0)+IF(ISNUMBER(SEARCH("Y",D208)),1,0)+IF(ISNUMBER(SEARCH("Y-MC",C208)),1,0))</f>
        <v>300</v>
      </c>
    </row>
    <row r="209" spans="1:7">
      <c r="A209" t="s">
        <v>226</v>
      </c>
      <c r="B209">
        <v>44.76</v>
      </c>
      <c r="C209" t="s">
        <v>1497</v>
      </c>
      <c r="D209" t="s">
        <v>1498</v>
      </c>
      <c r="E209" t="s">
        <v>592</v>
      </c>
      <c r="F209">
        <f>ROUND(B209*基本資料!$B$11,0)</f>
        <v>2686</v>
      </c>
      <c r="G209">
        <f>基本資料!$B$12*(IF(ISNUMBER(SEARCH("Y",C209)),1,0)+IF(ISNUMBER(SEARCH("Y",D209)),1,0)+IF(ISNUMBER(SEARCH("Y-MC",C209)),1,0))</f>
        <v>300</v>
      </c>
    </row>
    <row r="210" spans="1:7">
      <c r="A210" t="s">
        <v>227</v>
      </c>
      <c r="B210">
        <v>44.76</v>
      </c>
      <c r="C210" t="s">
        <v>1497</v>
      </c>
      <c r="D210" t="s">
        <v>1498</v>
      </c>
      <c r="E210" t="s">
        <v>593</v>
      </c>
      <c r="F210">
        <f>ROUND(B210*基本資料!$B$11,0)</f>
        <v>2686</v>
      </c>
      <c r="G210">
        <f>基本資料!$B$12*(IF(ISNUMBER(SEARCH("Y",C210)),1,0)+IF(ISNUMBER(SEARCH("Y",D210)),1,0)+IF(ISNUMBER(SEARCH("Y-MC",C210)),1,0))</f>
        <v>300</v>
      </c>
    </row>
    <row r="211" spans="1:7">
      <c r="A211" t="s">
        <v>228</v>
      </c>
      <c r="B211">
        <v>44.76</v>
      </c>
      <c r="C211" t="s">
        <v>1497</v>
      </c>
      <c r="D211" t="s">
        <v>1498</v>
      </c>
      <c r="E211" t="s">
        <v>594</v>
      </c>
      <c r="F211">
        <f>ROUND(B211*基本資料!$B$11,0)</f>
        <v>2686</v>
      </c>
      <c r="G211">
        <f>基本資料!$B$12*(IF(ISNUMBER(SEARCH("Y",C211)),1,0)+IF(ISNUMBER(SEARCH("Y",D211)),1,0)+IF(ISNUMBER(SEARCH("Y-MC",C211)),1,0))</f>
        <v>300</v>
      </c>
    </row>
    <row r="212" spans="1:7">
      <c r="A212" t="s">
        <v>229</v>
      </c>
      <c r="B212">
        <v>44.76</v>
      </c>
      <c r="C212" t="s">
        <v>1497</v>
      </c>
      <c r="D212" t="s">
        <v>1498</v>
      </c>
      <c r="E212" t="s">
        <v>595</v>
      </c>
      <c r="F212">
        <f>ROUND(B212*基本資料!$B$11,0)</f>
        <v>2686</v>
      </c>
      <c r="G212">
        <f>基本資料!$B$12*(IF(ISNUMBER(SEARCH("Y",C212)),1,0)+IF(ISNUMBER(SEARCH("Y",D212)),1,0)+IF(ISNUMBER(SEARCH("Y-MC",C212)),1,0))</f>
        <v>300</v>
      </c>
    </row>
    <row r="213" spans="1:7">
      <c r="A213" t="s">
        <v>230</v>
      </c>
      <c r="B213">
        <v>44.76</v>
      </c>
      <c r="C213" t="s">
        <v>1497</v>
      </c>
      <c r="D213" t="s">
        <v>1498</v>
      </c>
      <c r="E213" t="s">
        <v>596</v>
      </c>
      <c r="F213">
        <f>ROUND(B213*基本資料!$B$11,0)</f>
        <v>2686</v>
      </c>
      <c r="G213">
        <f>基本資料!$B$12*(IF(ISNUMBER(SEARCH("Y",C213)),1,0)+IF(ISNUMBER(SEARCH("Y",D213)),1,0)+IF(ISNUMBER(SEARCH("Y-MC",C213)),1,0))</f>
        <v>300</v>
      </c>
    </row>
    <row r="214" spans="1:7">
      <c r="A214" t="s">
        <v>231</v>
      </c>
      <c r="B214">
        <v>44.76</v>
      </c>
      <c r="C214" t="s">
        <v>1497</v>
      </c>
      <c r="D214" t="s">
        <v>1498</v>
      </c>
      <c r="E214" t="s">
        <v>597</v>
      </c>
      <c r="F214">
        <f>ROUND(B214*基本資料!$B$11,0)</f>
        <v>2686</v>
      </c>
      <c r="G214">
        <f>基本資料!$B$12*(IF(ISNUMBER(SEARCH("Y",C214)),1,0)+IF(ISNUMBER(SEARCH("Y",D214)),1,0)+IF(ISNUMBER(SEARCH("Y-MC",C214)),1,0))</f>
        <v>300</v>
      </c>
    </row>
    <row r="215" spans="1:7">
      <c r="A215" t="s">
        <v>232</v>
      </c>
      <c r="B215">
        <v>44.76</v>
      </c>
      <c r="C215" t="s">
        <v>1497</v>
      </c>
      <c r="D215" t="s">
        <v>1498</v>
      </c>
      <c r="E215" t="s">
        <v>598</v>
      </c>
      <c r="F215">
        <f>ROUND(B215*基本資料!$B$11,0)</f>
        <v>2686</v>
      </c>
      <c r="G215">
        <f>基本資料!$B$12*(IF(ISNUMBER(SEARCH("Y",C215)),1,0)+IF(ISNUMBER(SEARCH("Y",D215)),1,0)+IF(ISNUMBER(SEARCH("Y-MC",C215)),1,0))</f>
        <v>300</v>
      </c>
    </row>
    <row r="216" spans="1:7">
      <c r="A216" t="s">
        <v>233</v>
      </c>
      <c r="B216">
        <v>44.76</v>
      </c>
      <c r="C216" t="s">
        <v>1497</v>
      </c>
      <c r="D216" t="s">
        <v>1498</v>
      </c>
      <c r="E216" t="s">
        <v>599</v>
      </c>
      <c r="F216">
        <f>ROUND(B216*基本資料!$B$11,0)</f>
        <v>2686</v>
      </c>
      <c r="G216">
        <f>基本資料!$B$12*(IF(ISNUMBER(SEARCH("Y",C216)),1,0)+IF(ISNUMBER(SEARCH("Y",D216)),1,0)+IF(ISNUMBER(SEARCH("Y-MC",C216)),1,0))</f>
        <v>300</v>
      </c>
    </row>
    <row r="217" spans="1:7">
      <c r="A217" t="s">
        <v>234</v>
      </c>
      <c r="B217">
        <v>44.76</v>
      </c>
      <c r="C217" t="s">
        <v>1497</v>
      </c>
      <c r="D217" t="s">
        <v>1498</v>
      </c>
      <c r="E217" t="s">
        <v>600</v>
      </c>
      <c r="F217">
        <f>ROUND(B217*基本資料!$B$11,0)</f>
        <v>2686</v>
      </c>
      <c r="G217">
        <f>基本資料!$B$12*(IF(ISNUMBER(SEARCH("Y",C217)),1,0)+IF(ISNUMBER(SEARCH("Y",D217)),1,0)+IF(ISNUMBER(SEARCH("Y-MC",C217)),1,0))</f>
        <v>300</v>
      </c>
    </row>
    <row r="218" spans="1:7">
      <c r="A218" t="s">
        <v>235</v>
      </c>
      <c r="B218">
        <v>44.76</v>
      </c>
      <c r="C218" t="s">
        <v>1497</v>
      </c>
      <c r="D218" t="s">
        <v>1498</v>
      </c>
      <c r="E218" t="s">
        <v>601</v>
      </c>
      <c r="F218">
        <f>ROUND(B218*基本資料!$B$11,0)</f>
        <v>2686</v>
      </c>
      <c r="G218">
        <f>基本資料!$B$12*(IF(ISNUMBER(SEARCH("Y",C218)),1,0)+IF(ISNUMBER(SEARCH("Y",D218)),1,0)+IF(ISNUMBER(SEARCH("Y-MC",C218)),1,0))</f>
        <v>300</v>
      </c>
    </row>
    <row r="219" spans="1:7">
      <c r="A219" t="s">
        <v>236</v>
      </c>
      <c r="B219">
        <v>44.76</v>
      </c>
      <c r="C219" t="s">
        <v>1497</v>
      </c>
      <c r="D219" t="s">
        <v>1498</v>
      </c>
      <c r="E219" t="s">
        <v>602</v>
      </c>
      <c r="F219">
        <f>ROUND(B219*基本資料!$B$11,0)</f>
        <v>2686</v>
      </c>
      <c r="G219">
        <f>基本資料!$B$12*(IF(ISNUMBER(SEARCH("Y",C219)),1,0)+IF(ISNUMBER(SEARCH("Y",D219)),1,0)+IF(ISNUMBER(SEARCH("Y-MC",C219)),1,0))</f>
        <v>300</v>
      </c>
    </row>
    <row r="220" spans="1:7">
      <c r="A220" t="s">
        <v>237</v>
      </c>
      <c r="B220">
        <v>44.32</v>
      </c>
      <c r="C220" t="s">
        <v>1497</v>
      </c>
      <c r="D220" t="s">
        <v>1498</v>
      </c>
      <c r="E220" t="s">
        <v>603</v>
      </c>
      <c r="F220">
        <f>ROUND(B220*基本資料!$B$11,0)</f>
        <v>2659</v>
      </c>
      <c r="G220">
        <f>基本資料!$B$12*(IF(ISNUMBER(SEARCH("Y",C220)),1,0)+IF(ISNUMBER(SEARCH("Y",D220)),1,0)+IF(ISNUMBER(SEARCH("Y-MC",C220)),1,0))</f>
        <v>300</v>
      </c>
    </row>
    <row r="221" spans="1:7">
      <c r="A221" t="s">
        <v>8</v>
      </c>
      <c r="B221">
        <v>44.32</v>
      </c>
      <c r="C221" t="s">
        <v>1497</v>
      </c>
      <c r="D221" t="s">
        <v>1498</v>
      </c>
      <c r="E221" t="s">
        <v>604</v>
      </c>
      <c r="F221">
        <f>ROUND(B221*基本資料!$B$11,0)</f>
        <v>2659</v>
      </c>
      <c r="G221">
        <f>基本資料!$B$12*(IF(ISNUMBER(SEARCH("Y",C221)),1,0)+IF(ISNUMBER(SEARCH("Y",D221)),1,0)+IF(ISNUMBER(SEARCH("Y-MC",C221)),1,0))</f>
        <v>300</v>
      </c>
    </row>
    <row r="222" spans="1:7">
      <c r="A222" t="s">
        <v>238</v>
      </c>
      <c r="B222">
        <v>44.32</v>
      </c>
      <c r="C222" t="s">
        <v>1497</v>
      </c>
      <c r="D222" t="s">
        <v>1498</v>
      </c>
      <c r="E222" t="s">
        <v>605</v>
      </c>
      <c r="F222">
        <f>ROUND(B222*基本資料!$B$11,0)</f>
        <v>2659</v>
      </c>
      <c r="G222">
        <f>基本資料!$B$12*(IF(ISNUMBER(SEARCH("Y",C222)),1,0)+IF(ISNUMBER(SEARCH("Y",D222)),1,0)+IF(ISNUMBER(SEARCH("Y-MC",C222)),1,0))</f>
        <v>300</v>
      </c>
    </row>
    <row r="223" spans="1:7">
      <c r="A223" t="s">
        <v>239</v>
      </c>
      <c r="B223">
        <v>44.32</v>
      </c>
      <c r="C223" t="s">
        <v>1497</v>
      </c>
      <c r="D223" t="s">
        <v>1498</v>
      </c>
      <c r="E223" t="s">
        <v>606</v>
      </c>
      <c r="F223">
        <f>ROUND(B223*基本資料!$B$11,0)</f>
        <v>2659</v>
      </c>
      <c r="G223">
        <f>基本資料!$B$12*(IF(ISNUMBER(SEARCH("Y",C223)),1,0)+IF(ISNUMBER(SEARCH("Y",D223)),1,0)+IF(ISNUMBER(SEARCH("Y-MC",C223)),1,0))</f>
        <v>300</v>
      </c>
    </row>
    <row r="224" spans="1:7">
      <c r="A224" t="s">
        <v>240</v>
      </c>
      <c r="B224">
        <v>44.32</v>
      </c>
      <c r="C224" t="s">
        <v>1497</v>
      </c>
      <c r="D224" t="s">
        <v>1498</v>
      </c>
      <c r="E224" t="s">
        <v>607</v>
      </c>
      <c r="F224">
        <f>ROUND(B224*基本資料!$B$11,0)</f>
        <v>2659</v>
      </c>
      <c r="G224">
        <f>基本資料!$B$12*(IF(ISNUMBER(SEARCH("Y",C224)),1,0)+IF(ISNUMBER(SEARCH("Y",D224)),1,0)+IF(ISNUMBER(SEARCH("Y-MC",C224)),1,0))</f>
        <v>300</v>
      </c>
    </row>
    <row r="225" spans="1:7">
      <c r="A225" t="s">
        <v>241</v>
      </c>
      <c r="B225">
        <v>44.32</v>
      </c>
      <c r="C225" t="s">
        <v>1497</v>
      </c>
      <c r="D225" t="s">
        <v>1498</v>
      </c>
      <c r="E225" t="s">
        <v>608</v>
      </c>
      <c r="F225">
        <f>ROUND(B225*基本資料!$B$11,0)</f>
        <v>2659</v>
      </c>
      <c r="G225">
        <f>基本資料!$B$12*(IF(ISNUMBER(SEARCH("Y",C225)),1,0)+IF(ISNUMBER(SEARCH("Y",D225)),1,0)+IF(ISNUMBER(SEARCH("Y-MC",C225)),1,0))</f>
        <v>300</v>
      </c>
    </row>
    <row r="226" spans="1:7">
      <c r="A226" t="s">
        <v>242</v>
      </c>
      <c r="B226">
        <v>44.32</v>
      </c>
      <c r="C226" t="s">
        <v>1497</v>
      </c>
      <c r="D226" t="s">
        <v>1498</v>
      </c>
      <c r="E226" t="s">
        <v>609</v>
      </c>
      <c r="F226">
        <f>ROUND(B226*基本資料!$B$11,0)</f>
        <v>2659</v>
      </c>
      <c r="G226">
        <f>基本資料!$B$12*(IF(ISNUMBER(SEARCH("Y",C226)),1,0)+IF(ISNUMBER(SEARCH("Y",D226)),1,0)+IF(ISNUMBER(SEARCH("Y-MC",C226)),1,0))</f>
        <v>300</v>
      </c>
    </row>
    <row r="227" spans="1:7">
      <c r="A227" t="s">
        <v>243</v>
      </c>
      <c r="B227">
        <v>44.32</v>
      </c>
      <c r="C227" t="s">
        <v>1497</v>
      </c>
      <c r="D227" t="s">
        <v>1498</v>
      </c>
      <c r="E227" t="s">
        <v>610</v>
      </c>
      <c r="F227">
        <f>ROUND(B227*基本資料!$B$11,0)</f>
        <v>2659</v>
      </c>
      <c r="G227">
        <f>基本資料!$B$12*(IF(ISNUMBER(SEARCH("Y",C227)),1,0)+IF(ISNUMBER(SEARCH("Y",D227)),1,0)+IF(ISNUMBER(SEARCH("Y-MC",C227)),1,0))</f>
        <v>300</v>
      </c>
    </row>
    <row r="228" spans="1:7">
      <c r="A228" t="s">
        <v>244</v>
      </c>
      <c r="B228">
        <v>44.32</v>
      </c>
      <c r="C228" t="s">
        <v>1497</v>
      </c>
      <c r="D228" t="s">
        <v>1498</v>
      </c>
      <c r="E228" t="s">
        <v>611</v>
      </c>
      <c r="F228">
        <f>ROUND(B228*基本資料!$B$11,0)</f>
        <v>2659</v>
      </c>
      <c r="G228">
        <f>基本資料!$B$12*(IF(ISNUMBER(SEARCH("Y",C228)),1,0)+IF(ISNUMBER(SEARCH("Y",D228)),1,0)+IF(ISNUMBER(SEARCH("Y-MC",C228)),1,0))</f>
        <v>300</v>
      </c>
    </row>
    <row r="229" spans="1:7">
      <c r="A229" t="s">
        <v>245</v>
      </c>
      <c r="B229">
        <v>44.32</v>
      </c>
      <c r="C229" t="s">
        <v>1497</v>
      </c>
      <c r="D229" t="s">
        <v>1498</v>
      </c>
      <c r="E229" t="s">
        <v>612</v>
      </c>
      <c r="F229">
        <f>ROUND(B229*基本資料!$B$11,0)</f>
        <v>2659</v>
      </c>
      <c r="G229">
        <f>基本資料!$B$12*(IF(ISNUMBER(SEARCH("Y",C229)),1,0)+IF(ISNUMBER(SEARCH("Y",D229)),1,0)+IF(ISNUMBER(SEARCH("Y-MC",C229)),1,0))</f>
        <v>300</v>
      </c>
    </row>
    <row r="230" spans="1:7">
      <c r="A230" t="s">
        <v>246</v>
      </c>
      <c r="B230">
        <v>44.32</v>
      </c>
      <c r="C230" t="s">
        <v>1497</v>
      </c>
      <c r="D230" t="s">
        <v>1498</v>
      </c>
      <c r="E230" t="s">
        <v>613</v>
      </c>
      <c r="F230">
        <f>ROUND(B230*基本資料!$B$11,0)</f>
        <v>2659</v>
      </c>
      <c r="G230">
        <f>基本資料!$B$12*(IF(ISNUMBER(SEARCH("Y",C230)),1,0)+IF(ISNUMBER(SEARCH("Y",D230)),1,0)+IF(ISNUMBER(SEARCH("Y-MC",C230)),1,0))</f>
        <v>300</v>
      </c>
    </row>
    <row r="231" spans="1:7">
      <c r="A231" t="s">
        <v>247</v>
      </c>
      <c r="B231">
        <v>44.32</v>
      </c>
      <c r="C231" t="s">
        <v>1497</v>
      </c>
      <c r="D231" t="s">
        <v>1498</v>
      </c>
      <c r="E231" t="s">
        <v>614</v>
      </c>
      <c r="F231">
        <f>ROUND(B231*基本資料!$B$11,0)</f>
        <v>2659</v>
      </c>
      <c r="G231">
        <f>基本資料!$B$12*(IF(ISNUMBER(SEARCH("Y",C231)),1,0)+IF(ISNUMBER(SEARCH("Y",D231)),1,0)+IF(ISNUMBER(SEARCH("Y-MC",C231)),1,0))</f>
        <v>300</v>
      </c>
    </row>
    <row r="232" spans="1:7">
      <c r="A232" t="s">
        <v>248</v>
      </c>
      <c r="B232">
        <v>44.32</v>
      </c>
      <c r="C232" t="s">
        <v>1497</v>
      </c>
      <c r="D232" t="s">
        <v>1498</v>
      </c>
      <c r="E232" t="s">
        <v>615</v>
      </c>
      <c r="F232">
        <f>ROUND(B232*基本資料!$B$11,0)</f>
        <v>2659</v>
      </c>
      <c r="G232">
        <f>基本資料!$B$12*(IF(ISNUMBER(SEARCH("Y",C232)),1,0)+IF(ISNUMBER(SEARCH("Y",D232)),1,0)+IF(ISNUMBER(SEARCH("Y-MC",C232)),1,0))</f>
        <v>300</v>
      </c>
    </row>
    <row r="233" spans="1:7">
      <c r="A233" t="s">
        <v>249</v>
      </c>
      <c r="B233">
        <v>45.9</v>
      </c>
      <c r="C233" t="s">
        <v>1497</v>
      </c>
      <c r="D233" t="s">
        <v>1498</v>
      </c>
      <c r="E233" t="s">
        <v>616</v>
      </c>
      <c r="F233">
        <f>ROUND(B233*基本資料!$B$11,0)</f>
        <v>2754</v>
      </c>
      <c r="G233">
        <f>基本資料!$B$12*(IF(ISNUMBER(SEARCH("Y",C233)),1,0)+IF(ISNUMBER(SEARCH("Y",D233)),1,0)+IF(ISNUMBER(SEARCH("Y-MC",C233)),1,0))</f>
        <v>300</v>
      </c>
    </row>
    <row r="234" spans="1:7">
      <c r="A234" t="s">
        <v>250</v>
      </c>
      <c r="B234">
        <v>45.9</v>
      </c>
      <c r="C234" t="s">
        <v>1497</v>
      </c>
      <c r="D234" t="s">
        <v>1498</v>
      </c>
      <c r="E234" t="s">
        <v>617</v>
      </c>
      <c r="F234">
        <f>ROUND(B234*基本資料!$B$11,0)</f>
        <v>2754</v>
      </c>
      <c r="G234">
        <f>基本資料!$B$12*(IF(ISNUMBER(SEARCH("Y",C234)),1,0)+IF(ISNUMBER(SEARCH("Y",D234)),1,0)+IF(ISNUMBER(SEARCH("Y-MC",C234)),1,0))</f>
        <v>300</v>
      </c>
    </row>
    <row r="235" spans="1:7">
      <c r="A235" t="s">
        <v>251</v>
      </c>
      <c r="B235">
        <v>45.9</v>
      </c>
      <c r="C235" t="s">
        <v>1497</v>
      </c>
      <c r="D235" t="s">
        <v>1498</v>
      </c>
      <c r="E235" t="s">
        <v>618</v>
      </c>
      <c r="F235">
        <f>ROUND(B235*基本資料!$B$11,0)</f>
        <v>2754</v>
      </c>
      <c r="G235">
        <f>基本資料!$B$12*(IF(ISNUMBER(SEARCH("Y",C235)),1,0)+IF(ISNUMBER(SEARCH("Y",D235)),1,0)+IF(ISNUMBER(SEARCH("Y-MC",C235)),1,0))</f>
        <v>300</v>
      </c>
    </row>
    <row r="236" spans="1:7">
      <c r="A236" t="s">
        <v>252</v>
      </c>
      <c r="B236">
        <v>45.9</v>
      </c>
      <c r="C236" t="s">
        <v>1497</v>
      </c>
      <c r="D236" t="s">
        <v>1498</v>
      </c>
      <c r="E236" t="s">
        <v>619</v>
      </c>
      <c r="F236">
        <f>ROUND(B236*基本資料!$B$11,0)</f>
        <v>2754</v>
      </c>
      <c r="G236">
        <f>基本資料!$B$12*(IF(ISNUMBER(SEARCH("Y",C236)),1,0)+IF(ISNUMBER(SEARCH("Y",D236)),1,0)+IF(ISNUMBER(SEARCH("Y-MC",C236)),1,0))</f>
        <v>300</v>
      </c>
    </row>
    <row r="237" spans="1:7">
      <c r="A237" t="s">
        <v>253</v>
      </c>
      <c r="B237">
        <v>45.9</v>
      </c>
      <c r="C237" t="s">
        <v>1497</v>
      </c>
      <c r="D237" t="s">
        <v>1498</v>
      </c>
      <c r="E237" t="s">
        <v>620</v>
      </c>
      <c r="F237">
        <f>ROUND(B237*基本資料!$B$11,0)</f>
        <v>2754</v>
      </c>
      <c r="G237">
        <f>基本資料!$B$12*(IF(ISNUMBER(SEARCH("Y",C237)),1,0)+IF(ISNUMBER(SEARCH("Y",D237)),1,0)+IF(ISNUMBER(SEARCH("Y-MC",C237)),1,0))</f>
        <v>300</v>
      </c>
    </row>
    <row r="238" spans="1:7">
      <c r="A238" t="s">
        <v>254</v>
      </c>
      <c r="B238">
        <v>45.9</v>
      </c>
      <c r="C238" t="s">
        <v>1497</v>
      </c>
      <c r="D238" t="s">
        <v>1497</v>
      </c>
      <c r="E238" t="s">
        <v>621</v>
      </c>
      <c r="F238">
        <f>ROUND(B238*基本資料!$B$11,0)</f>
        <v>2754</v>
      </c>
      <c r="G238">
        <f>基本資料!$B$12*(IF(ISNUMBER(SEARCH("Y",C238)),1,0)+IF(ISNUMBER(SEARCH("Y",D238)),1,0)+IF(ISNUMBER(SEARCH("Y-MC",C238)),1,0))</f>
        <v>600</v>
      </c>
    </row>
    <row r="239" spans="1:7">
      <c r="A239" t="s">
        <v>255</v>
      </c>
      <c r="B239">
        <v>45.9</v>
      </c>
      <c r="C239" t="s">
        <v>1497</v>
      </c>
      <c r="D239" t="s">
        <v>1498</v>
      </c>
      <c r="E239" t="s">
        <v>622</v>
      </c>
      <c r="F239">
        <f>ROUND(B239*基本資料!$B$11,0)</f>
        <v>2754</v>
      </c>
      <c r="G239">
        <f>基本資料!$B$12*(IF(ISNUMBER(SEARCH("Y",C239)),1,0)+IF(ISNUMBER(SEARCH("Y",D239)),1,0)+IF(ISNUMBER(SEARCH("Y-MC",C239)),1,0))</f>
        <v>300</v>
      </c>
    </row>
    <row r="240" spans="1:7">
      <c r="A240" t="s">
        <v>256</v>
      </c>
      <c r="B240">
        <v>45.9</v>
      </c>
      <c r="C240" t="s">
        <v>1497</v>
      </c>
      <c r="D240" t="s">
        <v>1498</v>
      </c>
      <c r="E240" t="s">
        <v>623</v>
      </c>
      <c r="F240">
        <f>ROUND(B240*基本資料!$B$11,0)</f>
        <v>2754</v>
      </c>
      <c r="G240">
        <f>基本資料!$B$12*(IF(ISNUMBER(SEARCH("Y",C240)),1,0)+IF(ISNUMBER(SEARCH("Y",D240)),1,0)+IF(ISNUMBER(SEARCH("Y-MC",C240)),1,0))</f>
        <v>300</v>
      </c>
    </row>
    <row r="241" spans="1:7">
      <c r="A241" t="s">
        <v>257</v>
      </c>
      <c r="B241">
        <v>45.9</v>
      </c>
      <c r="C241" t="s">
        <v>1497</v>
      </c>
      <c r="D241" t="s">
        <v>1498</v>
      </c>
      <c r="E241" t="s">
        <v>624</v>
      </c>
      <c r="F241">
        <f>ROUND(B241*基本資料!$B$11,0)</f>
        <v>2754</v>
      </c>
      <c r="G241">
        <f>基本資料!$B$12*(IF(ISNUMBER(SEARCH("Y",C241)),1,0)+IF(ISNUMBER(SEARCH("Y",D241)),1,0)+IF(ISNUMBER(SEARCH("Y-MC",C241)),1,0))</f>
        <v>300</v>
      </c>
    </row>
    <row r="242" spans="1:7">
      <c r="A242" t="s">
        <v>258</v>
      </c>
      <c r="B242">
        <v>45.9</v>
      </c>
      <c r="C242" t="s">
        <v>1497</v>
      </c>
      <c r="D242" t="s">
        <v>1498</v>
      </c>
      <c r="E242" t="s">
        <v>625</v>
      </c>
      <c r="F242">
        <f>ROUND(B242*基本資料!$B$11,0)</f>
        <v>2754</v>
      </c>
      <c r="G242">
        <f>基本資料!$B$12*(IF(ISNUMBER(SEARCH("Y",C242)),1,0)+IF(ISNUMBER(SEARCH("Y",D242)),1,0)+IF(ISNUMBER(SEARCH("Y-MC",C242)),1,0))</f>
        <v>300</v>
      </c>
    </row>
    <row r="243" spans="1:7">
      <c r="A243" t="s">
        <v>259</v>
      </c>
      <c r="B243">
        <v>45.9</v>
      </c>
      <c r="C243" t="s">
        <v>1497</v>
      </c>
      <c r="D243" t="s">
        <v>1498</v>
      </c>
      <c r="E243" t="s">
        <v>626</v>
      </c>
      <c r="F243">
        <f>ROUND(B243*基本資料!$B$11,0)</f>
        <v>2754</v>
      </c>
      <c r="G243">
        <f>基本資料!$B$12*(IF(ISNUMBER(SEARCH("Y",C243)),1,0)+IF(ISNUMBER(SEARCH("Y",D243)),1,0)+IF(ISNUMBER(SEARCH("Y-MC",C243)),1,0))</f>
        <v>300</v>
      </c>
    </row>
    <row r="244" spans="1:7">
      <c r="A244" t="s">
        <v>260</v>
      </c>
      <c r="B244">
        <v>45.9</v>
      </c>
      <c r="C244" t="s">
        <v>1497</v>
      </c>
      <c r="D244" t="s">
        <v>1498</v>
      </c>
      <c r="E244" t="s">
        <v>627</v>
      </c>
      <c r="F244">
        <f>ROUND(B244*基本資料!$B$11,0)</f>
        <v>2754</v>
      </c>
      <c r="G244">
        <f>基本資料!$B$12*(IF(ISNUMBER(SEARCH("Y",C244)),1,0)+IF(ISNUMBER(SEARCH("Y",D244)),1,0)+IF(ISNUMBER(SEARCH("Y-MC",C244)),1,0))</f>
        <v>300</v>
      </c>
    </row>
    <row r="245" spans="1:7">
      <c r="A245" t="s">
        <v>261</v>
      </c>
      <c r="B245">
        <v>45.9</v>
      </c>
      <c r="C245" t="s">
        <v>1497</v>
      </c>
      <c r="D245" t="s">
        <v>1498</v>
      </c>
      <c r="E245" t="s">
        <v>628</v>
      </c>
      <c r="F245">
        <f>ROUND(B245*基本資料!$B$11,0)</f>
        <v>2754</v>
      </c>
      <c r="G245">
        <f>基本資料!$B$12*(IF(ISNUMBER(SEARCH("Y",C245)),1,0)+IF(ISNUMBER(SEARCH("Y",D245)),1,0)+IF(ISNUMBER(SEARCH("Y-MC",C245)),1,0))</f>
        <v>300</v>
      </c>
    </row>
    <row r="246" spans="1:7">
      <c r="A246" t="s">
        <v>262</v>
      </c>
      <c r="B246">
        <v>45.9</v>
      </c>
      <c r="C246" t="s">
        <v>1497</v>
      </c>
      <c r="D246" t="s">
        <v>1498</v>
      </c>
      <c r="E246" t="s">
        <v>629</v>
      </c>
      <c r="F246">
        <f>ROUND(B246*基本資料!$B$11,0)</f>
        <v>2754</v>
      </c>
      <c r="G246">
        <f>基本資料!$B$12*(IF(ISNUMBER(SEARCH("Y",C246)),1,0)+IF(ISNUMBER(SEARCH("Y",D246)),1,0)+IF(ISNUMBER(SEARCH("Y-MC",C246)),1,0))</f>
        <v>300</v>
      </c>
    </row>
    <row r="247" spans="1:7">
      <c r="A247" t="s">
        <v>263</v>
      </c>
      <c r="B247">
        <v>46.26</v>
      </c>
      <c r="C247" t="s">
        <v>1497</v>
      </c>
      <c r="D247" t="s">
        <v>1498</v>
      </c>
      <c r="E247" t="s">
        <v>630</v>
      </c>
      <c r="F247">
        <f>ROUND(B247*基本資料!$B$11,0)</f>
        <v>2776</v>
      </c>
      <c r="G247">
        <f>基本資料!$B$12*(IF(ISNUMBER(SEARCH("Y",C247)),1,0)+IF(ISNUMBER(SEARCH("Y",D247)),1,0)+IF(ISNUMBER(SEARCH("Y-MC",C247)),1,0))</f>
        <v>300</v>
      </c>
    </row>
    <row r="248" spans="1:7">
      <c r="A248" t="s">
        <v>264</v>
      </c>
      <c r="B248">
        <v>46.26</v>
      </c>
      <c r="C248" t="s">
        <v>1497</v>
      </c>
      <c r="D248" t="s">
        <v>1498</v>
      </c>
      <c r="E248" t="s">
        <v>631</v>
      </c>
      <c r="F248">
        <f>ROUND(B248*基本資料!$B$11,0)</f>
        <v>2776</v>
      </c>
      <c r="G248">
        <f>基本資料!$B$12*(IF(ISNUMBER(SEARCH("Y",C248)),1,0)+IF(ISNUMBER(SEARCH("Y",D248)),1,0)+IF(ISNUMBER(SEARCH("Y-MC",C248)),1,0))</f>
        <v>300</v>
      </c>
    </row>
    <row r="249" spans="1:7">
      <c r="A249" t="s">
        <v>265</v>
      </c>
      <c r="B249">
        <v>46.26</v>
      </c>
      <c r="C249" t="s">
        <v>1497</v>
      </c>
      <c r="D249" t="s">
        <v>1498</v>
      </c>
      <c r="E249" t="s">
        <v>632</v>
      </c>
      <c r="F249">
        <f>ROUND(B249*基本資料!$B$11,0)</f>
        <v>2776</v>
      </c>
      <c r="G249">
        <f>基本資料!$B$12*(IF(ISNUMBER(SEARCH("Y",C249)),1,0)+IF(ISNUMBER(SEARCH("Y",D249)),1,0)+IF(ISNUMBER(SEARCH("Y-MC",C249)),1,0))</f>
        <v>300</v>
      </c>
    </row>
    <row r="250" spans="1:7">
      <c r="A250" t="s">
        <v>266</v>
      </c>
      <c r="B250">
        <v>46.26</v>
      </c>
      <c r="C250" t="s">
        <v>1497</v>
      </c>
      <c r="D250" t="s">
        <v>1498</v>
      </c>
      <c r="E250" t="s">
        <v>633</v>
      </c>
      <c r="F250">
        <f>ROUND(B250*基本資料!$B$11,0)</f>
        <v>2776</v>
      </c>
      <c r="G250">
        <f>基本資料!$B$12*(IF(ISNUMBER(SEARCH("Y",C250)),1,0)+IF(ISNUMBER(SEARCH("Y",D250)),1,0)+IF(ISNUMBER(SEARCH("Y-MC",C250)),1,0))</f>
        <v>300</v>
      </c>
    </row>
    <row r="251" spans="1:7">
      <c r="A251" t="s">
        <v>267</v>
      </c>
      <c r="B251">
        <v>46.26</v>
      </c>
      <c r="C251" t="s">
        <v>1497</v>
      </c>
      <c r="D251" t="s">
        <v>1498</v>
      </c>
      <c r="E251" t="s">
        <v>634</v>
      </c>
      <c r="F251">
        <f>ROUND(B251*基本資料!$B$11,0)</f>
        <v>2776</v>
      </c>
      <c r="G251">
        <f>基本資料!$B$12*(IF(ISNUMBER(SEARCH("Y",C251)),1,0)+IF(ISNUMBER(SEARCH("Y",D251)),1,0)+IF(ISNUMBER(SEARCH("Y-MC",C251)),1,0))</f>
        <v>300</v>
      </c>
    </row>
    <row r="252" spans="1:7">
      <c r="A252" t="s">
        <v>268</v>
      </c>
      <c r="B252">
        <v>46.26</v>
      </c>
      <c r="C252" t="s">
        <v>1496</v>
      </c>
      <c r="D252" t="s">
        <v>1498</v>
      </c>
      <c r="E252" t="s">
        <v>635</v>
      </c>
      <c r="F252">
        <f>ROUND(B252*基本資料!$B$11,0)</f>
        <v>2776</v>
      </c>
      <c r="G252">
        <f>基本資料!$B$12*(IF(ISNUMBER(SEARCH("Y",C252)),1,0)+IF(ISNUMBER(SEARCH("Y",D252)),1,0)+IF(ISNUMBER(SEARCH("Y-MC",C252)),1,0))</f>
        <v>600</v>
      </c>
    </row>
    <row r="253" spans="1:7">
      <c r="A253" t="s">
        <v>269</v>
      </c>
      <c r="B253">
        <v>46.26</v>
      </c>
      <c r="C253" t="s">
        <v>1497</v>
      </c>
      <c r="D253" t="s">
        <v>1498</v>
      </c>
      <c r="E253" t="s">
        <v>636</v>
      </c>
      <c r="F253">
        <f>ROUND(B253*基本資料!$B$11,0)</f>
        <v>2776</v>
      </c>
      <c r="G253">
        <f>基本資料!$B$12*(IF(ISNUMBER(SEARCH("Y",C253)),1,0)+IF(ISNUMBER(SEARCH("Y",D253)),1,0)+IF(ISNUMBER(SEARCH("Y-MC",C253)),1,0))</f>
        <v>300</v>
      </c>
    </row>
    <row r="254" spans="1:7">
      <c r="A254" t="s">
        <v>270</v>
      </c>
      <c r="B254">
        <v>46.26</v>
      </c>
      <c r="C254" t="s">
        <v>1497</v>
      </c>
      <c r="D254" t="s">
        <v>1497</v>
      </c>
      <c r="E254" t="s">
        <v>637</v>
      </c>
      <c r="F254">
        <f>ROUND(B254*基本資料!$B$11,0)</f>
        <v>2776</v>
      </c>
      <c r="G254">
        <f>基本資料!$B$12*(IF(ISNUMBER(SEARCH("Y",C254)),1,0)+IF(ISNUMBER(SEARCH("Y",D254)),1,0)+IF(ISNUMBER(SEARCH("Y-MC",C254)),1,0))</f>
        <v>600</v>
      </c>
    </row>
    <row r="255" spans="1:7">
      <c r="A255" t="s">
        <v>271</v>
      </c>
      <c r="B255">
        <v>46.26</v>
      </c>
      <c r="C255" t="s">
        <v>1497</v>
      </c>
      <c r="D255" t="s">
        <v>1498</v>
      </c>
      <c r="E255" t="s">
        <v>638</v>
      </c>
      <c r="F255">
        <f>ROUND(B255*基本資料!$B$11,0)</f>
        <v>2776</v>
      </c>
      <c r="G255">
        <f>基本資料!$B$12*(IF(ISNUMBER(SEARCH("Y",C255)),1,0)+IF(ISNUMBER(SEARCH("Y",D255)),1,0)+IF(ISNUMBER(SEARCH("Y-MC",C255)),1,0))</f>
        <v>300</v>
      </c>
    </row>
    <row r="256" spans="1:7">
      <c r="A256" t="s">
        <v>272</v>
      </c>
      <c r="B256">
        <v>46.26</v>
      </c>
      <c r="C256" t="s">
        <v>1497</v>
      </c>
      <c r="D256" t="s">
        <v>1498</v>
      </c>
      <c r="E256" t="s">
        <v>639</v>
      </c>
      <c r="F256">
        <f>ROUND(B256*基本資料!$B$11,0)</f>
        <v>2776</v>
      </c>
      <c r="G256">
        <f>基本資料!$B$12*(IF(ISNUMBER(SEARCH("Y",C256)),1,0)+IF(ISNUMBER(SEARCH("Y",D256)),1,0)+IF(ISNUMBER(SEARCH("Y-MC",C256)),1,0))</f>
        <v>300</v>
      </c>
    </row>
    <row r="257" spans="1:7">
      <c r="A257" t="s">
        <v>273</v>
      </c>
      <c r="B257">
        <v>46.26</v>
      </c>
      <c r="C257" t="s">
        <v>1496</v>
      </c>
      <c r="D257" t="s">
        <v>1498</v>
      </c>
      <c r="E257" t="s">
        <v>640</v>
      </c>
      <c r="F257">
        <f>ROUND(B257*基本資料!$B$11,0)</f>
        <v>2776</v>
      </c>
      <c r="G257">
        <f>基本資料!$B$12*(IF(ISNUMBER(SEARCH("Y",C257)),1,0)+IF(ISNUMBER(SEARCH("Y",D257)),1,0)+IF(ISNUMBER(SEARCH("Y-MC",C257)),1,0))</f>
        <v>600</v>
      </c>
    </row>
    <row r="258" spans="1:7">
      <c r="A258" t="s">
        <v>274</v>
      </c>
      <c r="B258">
        <v>46.26</v>
      </c>
      <c r="C258" t="s">
        <v>1497</v>
      </c>
      <c r="D258" t="s">
        <v>1498</v>
      </c>
      <c r="E258" t="s">
        <v>641</v>
      </c>
      <c r="F258">
        <f>ROUND(B258*基本資料!$B$11,0)</f>
        <v>2776</v>
      </c>
      <c r="G258">
        <f>基本資料!$B$12*(IF(ISNUMBER(SEARCH("Y",C258)),1,0)+IF(ISNUMBER(SEARCH("Y",D258)),1,0)+IF(ISNUMBER(SEARCH("Y-MC",C258)),1,0))</f>
        <v>300</v>
      </c>
    </row>
    <row r="259" spans="1:7">
      <c r="A259" t="s">
        <v>275</v>
      </c>
      <c r="B259">
        <v>46.26</v>
      </c>
      <c r="C259" t="s">
        <v>1497</v>
      </c>
      <c r="D259" t="s">
        <v>1498</v>
      </c>
      <c r="E259" t="s">
        <v>642</v>
      </c>
      <c r="F259">
        <f>ROUND(B259*基本資料!$B$11,0)</f>
        <v>2776</v>
      </c>
      <c r="G259">
        <f>基本資料!$B$12*(IF(ISNUMBER(SEARCH("Y",C259)),1,0)+IF(ISNUMBER(SEARCH("Y",D259)),1,0)+IF(ISNUMBER(SEARCH("Y-MC",C259)),1,0))</f>
        <v>300</v>
      </c>
    </row>
    <row r="260" spans="1:7">
      <c r="A260" t="s">
        <v>276</v>
      </c>
      <c r="B260">
        <v>46.26</v>
      </c>
      <c r="C260" t="s">
        <v>1497</v>
      </c>
      <c r="D260" t="s">
        <v>1498</v>
      </c>
      <c r="E260" t="s">
        <v>643</v>
      </c>
      <c r="F260">
        <f>ROUND(B260*基本資料!$B$11,0)</f>
        <v>2776</v>
      </c>
      <c r="G260">
        <f>基本資料!$B$12*(IF(ISNUMBER(SEARCH("Y",C260)),1,0)+IF(ISNUMBER(SEARCH("Y",D260)),1,0)+IF(ISNUMBER(SEARCH("Y-MC",C260)),1,0))</f>
        <v>300</v>
      </c>
    </row>
    <row r="261" spans="1:7">
      <c r="A261" t="s">
        <v>277</v>
      </c>
      <c r="B261">
        <v>29.71</v>
      </c>
      <c r="C261" t="s">
        <v>1497</v>
      </c>
      <c r="D261" t="s">
        <v>1498</v>
      </c>
      <c r="E261" t="s">
        <v>644</v>
      </c>
      <c r="F261">
        <f>ROUND(B261*基本資料!$B$11,0)</f>
        <v>1783</v>
      </c>
      <c r="G261">
        <f>基本資料!$B$12*(IF(ISNUMBER(SEARCH("Y",C261)),1,0)+IF(ISNUMBER(SEARCH("Y",D261)),1,0)+IF(ISNUMBER(SEARCH("Y-MC",C261)),1,0))</f>
        <v>300</v>
      </c>
    </row>
    <row r="262" spans="1:7">
      <c r="A262" t="s">
        <v>278</v>
      </c>
      <c r="B262">
        <v>29.71</v>
      </c>
      <c r="C262" t="s">
        <v>1497</v>
      </c>
      <c r="D262" t="s">
        <v>1498</v>
      </c>
      <c r="E262" t="s">
        <v>645</v>
      </c>
      <c r="F262">
        <f>ROUND(B262*基本資料!$B$11,0)</f>
        <v>1783</v>
      </c>
      <c r="G262">
        <f>基本資料!$B$12*(IF(ISNUMBER(SEARCH("Y",C262)),1,0)+IF(ISNUMBER(SEARCH("Y",D262)),1,0)+IF(ISNUMBER(SEARCH("Y-MC",C262)),1,0))</f>
        <v>300</v>
      </c>
    </row>
    <row r="263" spans="1:7">
      <c r="A263" t="s">
        <v>279</v>
      </c>
      <c r="B263">
        <v>29.71</v>
      </c>
      <c r="C263" t="s">
        <v>1497</v>
      </c>
      <c r="D263" t="s">
        <v>1498</v>
      </c>
      <c r="E263" t="s">
        <v>646</v>
      </c>
      <c r="F263">
        <f>ROUND(B263*基本資料!$B$11,0)</f>
        <v>1783</v>
      </c>
      <c r="G263">
        <f>基本資料!$B$12*(IF(ISNUMBER(SEARCH("Y",C263)),1,0)+IF(ISNUMBER(SEARCH("Y",D263)),1,0)+IF(ISNUMBER(SEARCH("Y-MC",C263)),1,0))</f>
        <v>300</v>
      </c>
    </row>
    <row r="264" spans="1:7">
      <c r="A264" t="s">
        <v>280</v>
      </c>
      <c r="B264">
        <v>29.71</v>
      </c>
      <c r="C264" t="s">
        <v>1498</v>
      </c>
      <c r="D264" t="s">
        <v>1498</v>
      </c>
      <c r="E264" t="s">
        <v>647</v>
      </c>
      <c r="F264">
        <f>ROUND(B264*基本資料!$B$11,0)</f>
        <v>1783</v>
      </c>
      <c r="G264">
        <f>基本資料!$B$12*(IF(ISNUMBER(SEARCH("Y",C264)),1,0)+IF(ISNUMBER(SEARCH("Y",D264)),1,0)+IF(ISNUMBER(SEARCH("Y-MC",C264)),1,0))</f>
        <v>0</v>
      </c>
    </row>
    <row r="265" spans="1:7">
      <c r="A265" t="s">
        <v>281</v>
      </c>
      <c r="B265">
        <v>29.71</v>
      </c>
      <c r="C265" t="s">
        <v>1497</v>
      </c>
      <c r="D265" t="s">
        <v>1498</v>
      </c>
      <c r="E265" t="s">
        <v>648</v>
      </c>
      <c r="F265">
        <f>ROUND(B265*基本資料!$B$11,0)</f>
        <v>1783</v>
      </c>
      <c r="G265">
        <f>基本資料!$B$12*(IF(ISNUMBER(SEARCH("Y",C265)),1,0)+IF(ISNUMBER(SEARCH("Y",D265)),1,0)+IF(ISNUMBER(SEARCH("Y-MC",C265)),1,0))</f>
        <v>300</v>
      </c>
    </row>
    <row r="266" spans="1:7">
      <c r="A266" t="s">
        <v>282</v>
      </c>
      <c r="B266">
        <v>29.71</v>
      </c>
      <c r="C266" t="s">
        <v>1497</v>
      </c>
      <c r="D266" t="s">
        <v>1498</v>
      </c>
      <c r="E266" t="s">
        <v>649</v>
      </c>
      <c r="F266">
        <f>ROUND(B266*基本資料!$B$11,0)</f>
        <v>1783</v>
      </c>
      <c r="G266">
        <f>基本資料!$B$12*(IF(ISNUMBER(SEARCH("Y",C266)),1,0)+IF(ISNUMBER(SEARCH("Y",D266)),1,0)+IF(ISNUMBER(SEARCH("Y-MC",C266)),1,0))</f>
        <v>300</v>
      </c>
    </row>
    <row r="267" spans="1:7">
      <c r="A267" t="s">
        <v>283</v>
      </c>
      <c r="B267">
        <v>29.71</v>
      </c>
      <c r="C267" t="s">
        <v>1497</v>
      </c>
      <c r="D267" t="s">
        <v>1498</v>
      </c>
      <c r="E267" t="s">
        <v>650</v>
      </c>
      <c r="F267">
        <f>ROUND(B267*基本資料!$B$11,0)</f>
        <v>1783</v>
      </c>
      <c r="G267">
        <f>基本資料!$B$12*(IF(ISNUMBER(SEARCH("Y",C267)),1,0)+IF(ISNUMBER(SEARCH("Y",D267)),1,0)+IF(ISNUMBER(SEARCH("Y-MC",C267)),1,0))</f>
        <v>300</v>
      </c>
    </row>
    <row r="268" spans="1:7">
      <c r="A268" t="s">
        <v>284</v>
      </c>
      <c r="B268">
        <v>29.71</v>
      </c>
      <c r="C268" t="s">
        <v>1497</v>
      </c>
      <c r="D268" t="s">
        <v>1498</v>
      </c>
      <c r="E268" t="s">
        <v>651</v>
      </c>
      <c r="F268">
        <f>ROUND(B268*基本資料!$B$11,0)</f>
        <v>1783</v>
      </c>
      <c r="G268">
        <f>基本資料!$B$12*(IF(ISNUMBER(SEARCH("Y",C268)),1,0)+IF(ISNUMBER(SEARCH("Y",D268)),1,0)+IF(ISNUMBER(SEARCH("Y-MC",C268)),1,0))</f>
        <v>300</v>
      </c>
    </row>
    <row r="269" spans="1:7">
      <c r="A269" t="s">
        <v>285</v>
      </c>
      <c r="B269">
        <v>29.71</v>
      </c>
      <c r="C269" t="s">
        <v>1497</v>
      </c>
      <c r="D269" t="s">
        <v>1498</v>
      </c>
      <c r="E269" t="s">
        <v>652</v>
      </c>
      <c r="F269">
        <f>ROUND(B269*基本資料!$B$11,0)</f>
        <v>1783</v>
      </c>
      <c r="G269">
        <f>基本資料!$B$12*(IF(ISNUMBER(SEARCH("Y",C269)),1,0)+IF(ISNUMBER(SEARCH("Y",D269)),1,0)+IF(ISNUMBER(SEARCH("Y-MC",C269)),1,0))</f>
        <v>300</v>
      </c>
    </row>
    <row r="270" spans="1:7">
      <c r="A270" t="s">
        <v>286</v>
      </c>
      <c r="B270">
        <v>29.71</v>
      </c>
      <c r="C270" t="s">
        <v>1497</v>
      </c>
      <c r="D270" t="s">
        <v>1498</v>
      </c>
      <c r="E270" t="s">
        <v>653</v>
      </c>
      <c r="F270">
        <f>ROUND(B270*基本資料!$B$11,0)</f>
        <v>1783</v>
      </c>
      <c r="G270">
        <f>基本資料!$B$12*(IF(ISNUMBER(SEARCH("Y",C270)),1,0)+IF(ISNUMBER(SEARCH("Y",D270)),1,0)+IF(ISNUMBER(SEARCH("Y-MC",C270)),1,0))</f>
        <v>300</v>
      </c>
    </row>
    <row r="271" spans="1:7">
      <c r="A271" t="s">
        <v>287</v>
      </c>
      <c r="B271">
        <v>29.71</v>
      </c>
      <c r="C271" t="s">
        <v>1497</v>
      </c>
      <c r="D271" t="s">
        <v>1498</v>
      </c>
      <c r="E271" t="s">
        <v>654</v>
      </c>
      <c r="F271">
        <f>ROUND(B271*基本資料!$B$11,0)</f>
        <v>1783</v>
      </c>
      <c r="G271">
        <f>基本資料!$B$12*(IF(ISNUMBER(SEARCH("Y",C271)),1,0)+IF(ISNUMBER(SEARCH("Y",D271)),1,0)+IF(ISNUMBER(SEARCH("Y-MC",C271)),1,0))</f>
        <v>300</v>
      </c>
    </row>
    <row r="272" spans="1:7">
      <c r="A272" t="s">
        <v>288</v>
      </c>
      <c r="B272">
        <v>29.71</v>
      </c>
      <c r="C272" t="s">
        <v>1497</v>
      </c>
      <c r="D272" t="s">
        <v>1498</v>
      </c>
      <c r="E272" t="s">
        <v>655</v>
      </c>
      <c r="F272">
        <f>ROUND(B272*基本資料!$B$11,0)</f>
        <v>1783</v>
      </c>
      <c r="G272">
        <f>基本資料!$B$12*(IF(ISNUMBER(SEARCH("Y",C272)),1,0)+IF(ISNUMBER(SEARCH("Y",D272)),1,0)+IF(ISNUMBER(SEARCH("Y-MC",C272)),1,0))</f>
        <v>300</v>
      </c>
    </row>
    <row r="273" spans="1:7">
      <c r="A273" t="s">
        <v>289</v>
      </c>
      <c r="B273">
        <v>29.71</v>
      </c>
      <c r="C273" t="s">
        <v>1497</v>
      </c>
      <c r="D273" t="s">
        <v>1498</v>
      </c>
      <c r="E273" t="s">
        <v>656</v>
      </c>
      <c r="F273">
        <f>ROUND(B273*基本資料!$B$11,0)</f>
        <v>1783</v>
      </c>
      <c r="G273">
        <f>基本資料!$B$12*(IF(ISNUMBER(SEARCH("Y",C273)),1,0)+IF(ISNUMBER(SEARCH("Y",D273)),1,0)+IF(ISNUMBER(SEARCH("Y-MC",C273)),1,0))</f>
        <v>300</v>
      </c>
    </row>
    <row r="274" spans="1:7">
      <c r="A274" t="s">
        <v>290</v>
      </c>
      <c r="B274">
        <v>29.71</v>
      </c>
      <c r="C274" t="s">
        <v>1497</v>
      </c>
      <c r="D274" t="s">
        <v>1498</v>
      </c>
      <c r="E274" t="s">
        <v>657</v>
      </c>
      <c r="F274">
        <f>ROUND(B274*基本資料!$B$11,0)</f>
        <v>1783</v>
      </c>
      <c r="G274">
        <f>基本資料!$B$12*(IF(ISNUMBER(SEARCH("Y",C274)),1,0)+IF(ISNUMBER(SEARCH("Y",D274)),1,0)+IF(ISNUMBER(SEARCH("Y-MC",C274)),1,0))</f>
        <v>300</v>
      </c>
    </row>
    <row r="275" spans="1:7">
      <c r="A275" t="s">
        <v>291</v>
      </c>
      <c r="B275">
        <v>29.27</v>
      </c>
      <c r="C275" t="s">
        <v>1497</v>
      </c>
      <c r="D275" t="s">
        <v>1498</v>
      </c>
      <c r="E275" t="s">
        <v>658</v>
      </c>
      <c r="F275">
        <f>ROUND(B275*基本資料!$B$11,0)</f>
        <v>1756</v>
      </c>
      <c r="G275">
        <f>基本資料!$B$12*(IF(ISNUMBER(SEARCH("Y",C275)),1,0)+IF(ISNUMBER(SEARCH("Y",D275)),1,0)+IF(ISNUMBER(SEARCH("Y-MC",C275)),1,0))</f>
        <v>300</v>
      </c>
    </row>
    <row r="276" spans="1:7">
      <c r="A276" t="s">
        <v>292</v>
      </c>
      <c r="B276">
        <v>29.27</v>
      </c>
      <c r="C276" t="s">
        <v>1497</v>
      </c>
      <c r="D276" t="s">
        <v>1498</v>
      </c>
      <c r="E276" t="s">
        <v>659</v>
      </c>
      <c r="F276">
        <f>ROUND(B276*基本資料!$B$11,0)</f>
        <v>1756</v>
      </c>
      <c r="G276">
        <f>基本資料!$B$12*(IF(ISNUMBER(SEARCH("Y",C276)),1,0)+IF(ISNUMBER(SEARCH("Y",D276)),1,0)+IF(ISNUMBER(SEARCH("Y-MC",C276)),1,0))</f>
        <v>300</v>
      </c>
    </row>
    <row r="277" spans="1:7">
      <c r="A277" t="s">
        <v>293</v>
      </c>
      <c r="B277">
        <v>29.27</v>
      </c>
      <c r="C277" t="s">
        <v>1497</v>
      </c>
      <c r="D277" t="s">
        <v>1498</v>
      </c>
      <c r="E277" t="s">
        <v>660</v>
      </c>
      <c r="F277">
        <f>ROUND(B277*基本資料!$B$11,0)</f>
        <v>1756</v>
      </c>
      <c r="G277">
        <f>基本資料!$B$12*(IF(ISNUMBER(SEARCH("Y",C277)),1,0)+IF(ISNUMBER(SEARCH("Y",D277)),1,0)+IF(ISNUMBER(SEARCH("Y-MC",C277)),1,0))</f>
        <v>300</v>
      </c>
    </row>
    <row r="278" spans="1:7">
      <c r="A278" t="s">
        <v>294</v>
      </c>
      <c r="B278">
        <v>29.27</v>
      </c>
      <c r="C278" t="s">
        <v>1498</v>
      </c>
      <c r="D278" t="s">
        <v>1498</v>
      </c>
      <c r="E278" t="s">
        <v>661</v>
      </c>
      <c r="F278">
        <f>ROUND(B278*基本資料!$B$11,0)</f>
        <v>1756</v>
      </c>
      <c r="G278">
        <f>基本資料!$B$12*(IF(ISNUMBER(SEARCH("Y",C278)),1,0)+IF(ISNUMBER(SEARCH("Y",D278)),1,0)+IF(ISNUMBER(SEARCH("Y-MC",C278)),1,0))</f>
        <v>0</v>
      </c>
    </row>
    <row r="279" spans="1:7">
      <c r="A279" t="s">
        <v>295</v>
      </c>
      <c r="B279">
        <v>29.27</v>
      </c>
      <c r="C279" t="s">
        <v>1497</v>
      </c>
      <c r="D279" t="s">
        <v>1498</v>
      </c>
      <c r="E279" t="s">
        <v>662</v>
      </c>
      <c r="F279">
        <f>ROUND(B279*基本資料!$B$11,0)</f>
        <v>1756</v>
      </c>
      <c r="G279">
        <f>基本資料!$B$12*(IF(ISNUMBER(SEARCH("Y",C279)),1,0)+IF(ISNUMBER(SEARCH("Y",D279)),1,0)+IF(ISNUMBER(SEARCH("Y-MC",C279)),1,0))</f>
        <v>300</v>
      </c>
    </row>
    <row r="280" spans="1:7">
      <c r="A280" t="s">
        <v>296</v>
      </c>
      <c r="B280">
        <v>29.27</v>
      </c>
      <c r="C280" t="s">
        <v>1497</v>
      </c>
      <c r="D280" t="s">
        <v>1498</v>
      </c>
      <c r="E280" t="s">
        <v>663</v>
      </c>
      <c r="F280">
        <f>ROUND(B280*基本資料!$B$11,0)</f>
        <v>1756</v>
      </c>
      <c r="G280">
        <f>基本資料!$B$12*(IF(ISNUMBER(SEARCH("Y",C280)),1,0)+IF(ISNUMBER(SEARCH("Y",D280)),1,0)+IF(ISNUMBER(SEARCH("Y-MC",C280)),1,0))</f>
        <v>300</v>
      </c>
    </row>
    <row r="281" spans="1:7">
      <c r="A281" t="s">
        <v>297</v>
      </c>
      <c r="B281">
        <v>29.27</v>
      </c>
      <c r="C281" t="s">
        <v>1497</v>
      </c>
      <c r="D281" t="s">
        <v>1498</v>
      </c>
      <c r="E281" t="s">
        <v>664</v>
      </c>
      <c r="F281">
        <f>ROUND(B281*基本資料!$B$11,0)</f>
        <v>1756</v>
      </c>
      <c r="G281">
        <f>基本資料!$B$12*(IF(ISNUMBER(SEARCH("Y",C281)),1,0)+IF(ISNUMBER(SEARCH("Y",D281)),1,0)+IF(ISNUMBER(SEARCH("Y-MC",C281)),1,0))</f>
        <v>300</v>
      </c>
    </row>
    <row r="282" spans="1:7">
      <c r="A282" t="s">
        <v>298</v>
      </c>
      <c r="B282">
        <v>29.27</v>
      </c>
      <c r="C282" t="s">
        <v>1497</v>
      </c>
      <c r="D282" t="s">
        <v>1498</v>
      </c>
      <c r="E282" t="s">
        <v>665</v>
      </c>
      <c r="F282">
        <f>ROUND(B282*基本資料!$B$11,0)</f>
        <v>1756</v>
      </c>
      <c r="G282">
        <f>基本資料!$B$12*(IF(ISNUMBER(SEARCH("Y",C282)),1,0)+IF(ISNUMBER(SEARCH("Y",D282)),1,0)+IF(ISNUMBER(SEARCH("Y-MC",C282)),1,0))</f>
        <v>300</v>
      </c>
    </row>
    <row r="283" spans="1:7">
      <c r="A283" t="s">
        <v>299</v>
      </c>
      <c r="B283">
        <v>29.27</v>
      </c>
      <c r="C283" t="s">
        <v>1497</v>
      </c>
      <c r="D283" t="s">
        <v>1498</v>
      </c>
      <c r="E283" t="s">
        <v>666</v>
      </c>
      <c r="F283">
        <f>ROUND(B283*基本資料!$B$11,0)</f>
        <v>1756</v>
      </c>
      <c r="G283">
        <f>基本資料!$B$12*(IF(ISNUMBER(SEARCH("Y",C283)),1,0)+IF(ISNUMBER(SEARCH("Y",D283)),1,0)+IF(ISNUMBER(SEARCH("Y-MC",C283)),1,0))</f>
        <v>300</v>
      </c>
    </row>
    <row r="284" spans="1:7">
      <c r="A284" t="s">
        <v>300</v>
      </c>
      <c r="B284">
        <v>29.27</v>
      </c>
      <c r="C284" t="s">
        <v>1497</v>
      </c>
      <c r="D284" t="s">
        <v>1498</v>
      </c>
      <c r="E284" t="s">
        <v>667</v>
      </c>
      <c r="F284">
        <f>ROUND(B284*基本資料!$B$11,0)</f>
        <v>1756</v>
      </c>
      <c r="G284">
        <f>基本資料!$B$12*(IF(ISNUMBER(SEARCH("Y",C284)),1,0)+IF(ISNUMBER(SEARCH("Y",D284)),1,0)+IF(ISNUMBER(SEARCH("Y-MC",C284)),1,0))</f>
        <v>300</v>
      </c>
    </row>
    <row r="285" spans="1:7">
      <c r="A285" t="s">
        <v>301</v>
      </c>
      <c r="B285">
        <v>29.27</v>
      </c>
      <c r="C285" t="s">
        <v>1497</v>
      </c>
      <c r="D285" t="s">
        <v>1498</v>
      </c>
      <c r="E285" t="s">
        <v>668</v>
      </c>
      <c r="F285">
        <f>ROUND(B285*基本資料!$B$11,0)</f>
        <v>1756</v>
      </c>
      <c r="G285">
        <f>基本資料!$B$12*(IF(ISNUMBER(SEARCH("Y",C285)),1,0)+IF(ISNUMBER(SEARCH("Y",D285)),1,0)+IF(ISNUMBER(SEARCH("Y-MC",C285)),1,0))</f>
        <v>300</v>
      </c>
    </row>
    <row r="286" spans="1:7">
      <c r="A286" t="s">
        <v>302</v>
      </c>
      <c r="B286">
        <v>29.27</v>
      </c>
      <c r="C286" t="s">
        <v>1497</v>
      </c>
      <c r="D286" t="s">
        <v>1498</v>
      </c>
      <c r="E286" t="s">
        <v>669</v>
      </c>
      <c r="F286">
        <f>ROUND(B286*基本資料!$B$11,0)</f>
        <v>1756</v>
      </c>
      <c r="G286">
        <f>基本資料!$B$12*(IF(ISNUMBER(SEARCH("Y",C286)),1,0)+IF(ISNUMBER(SEARCH("Y",D286)),1,0)+IF(ISNUMBER(SEARCH("Y-MC",C286)),1,0))</f>
        <v>300</v>
      </c>
    </row>
    <row r="287" spans="1:7">
      <c r="A287" t="s">
        <v>303</v>
      </c>
      <c r="B287">
        <v>29.27</v>
      </c>
      <c r="C287" t="s">
        <v>1497</v>
      </c>
      <c r="D287" t="s">
        <v>1498</v>
      </c>
      <c r="E287" t="s">
        <v>670</v>
      </c>
      <c r="F287">
        <f>ROUND(B287*基本資料!$B$11,0)</f>
        <v>1756</v>
      </c>
      <c r="G287">
        <f>基本資料!$B$12*(IF(ISNUMBER(SEARCH("Y",C287)),1,0)+IF(ISNUMBER(SEARCH("Y",D287)),1,0)+IF(ISNUMBER(SEARCH("Y-MC",C287)),1,0))</f>
        <v>300</v>
      </c>
    </row>
    <row r="288" spans="1:7">
      <c r="A288" t="s">
        <v>304</v>
      </c>
      <c r="B288">
        <v>29.27</v>
      </c>
      <c r="C288" t="s">
        <v>1497</v>
      </c>
      <c r="D288" t="s">
        <v>1498</v>
      </c>
      <c r="E288" t="s">
        <v>671</v>
      </c>
      <c r="F288">
        <f>ROUND(B288*基本資料!$B$11,0)</f>
        <v>1756</v>
      </c>
      <c r="G288">
        <f>基本資料!$B$12*(IF(ISNUMBER(SEARCH("Y",C288)),1,0)+IF(ISNUMBER(SEARCH("Y",D288)),1,0)+IF(ISNUMBER(SEARCH("Y-MC",C288)),1,0))</f>
        <v>300</v>
      </c>
    </row>
    <row r="289" spans="1:7">
      <c r="A289" t="s">
        <v>305</v>
      </c>
      <c r="B289">
        <v>31.41</v>
      </c>
      <c r="C289" t="s">
        <v>1497</v>
      </c>
      <c r="D289" t="s">
        <v>1498</v>
      </c>
      <c r="E289" t="s">
        <v>672</v>
      </c>
      <c r="F289">
        <f>ROUND(B289*基本資料!$B$11,0)</f>
        <v>1885</v>
      </c>
      <c r="G289">
        <f>基本資料!$B$12*(IF(ISNUMBER(SEARCH("Y",C289)),1,0)+IF(ISNUMBER(SEARCH("Y",D289)),1,0)+IF(ISNUMBER(SEARCH("Y-MC",C289)),1,0))</f>
        <v>300</v>
      </c>
    </row>
    <row r="290" spans="1:7">
      <c r="A290" t="s">
        <v>306</v>
      </c>
      <c r="B290">
        <v>31.41</v>
      </c>
      <c r="C290" t="s">
        <v>1497</v>
      </c>
      <c r="D290" t="s">
        <v>1498</v>
      </c>
      <c r="E290" t="s">
        <v>673</v>
      </c>
      <c r="F290">
        <f>ROUND(B290*基本資料!$B$11,0)</f>
        <v>1885</v>
      </c>
      <c r="G290">
        <f>基本資料!$B$12*(IF(ISNUMBER(SEARCH("Y",C290)),1,0)+IF(ISNUMBER(SEARCH("Y",D290)),1,0)+IF(ISNUMBER(SEARCH("Y-MC",C290)),1,0))</f>
        <v>300</v>
      </c>
    </row>
    <row r="291" spans="1:7">
      <c r="A291" t="s">
        <v>307</v>
      </c>
      <c r="B291">
        <v>31.41</v>
      </c>
      <c r="C291" t="s">
        <v>1498</v>
      </c>
      <c r="D291" t="s">
        <v>1498</v>
      </c>
      <c r="E291" t="s">
        <v>674</v>
      </c>
      <c r="F291">
        <f>ROUND(B291*基本資料!$B$11,0)</f>
        <v>1885</v>
      </c>
      <c r="G291">
        <f>基本資料!$B$12*(IF(ISNUMBER(SEARCH("Y",C291)),1,0)+IF(ISNUMBER(SEARCH("Y",D291)),1,0)+IF(ISNUMBER(SEARCH("Y-MC",C291)),1,0))</f>
        <v>0</v>
      </c>
    </row>
    <row r="292" spans="1:7">
      <c r="A292" t="s">
        <v>308</v>
      </c>
      <c r="B292">
        <v>31.41</v>
      </c>
      <c r="C292" t="s">
        <v>1497</v>
      </c>
      <c r="D292" t="s">
        <v>1498</v>
      </c>
      <c r="E292" t="s">
        <v>675</v>
      </c>
      <c r="F292">
        <f>ROUND(B292*基本資料!$B$11,0)</f>
        <v>1885</v>
      </c>
      <c r="G292">
        <f>基本資料!$B$12*(IF(ISNUMBER(SEARCH("Y",C292)),1,0)+IF(ISNUMBER(SEARCH("Y",D292)),1,0)+IF(ISNUMBER(SEARCH("Y-MC",C292)),1,0))</f>
        <v>300</v>
      </c>
    </row>
    <row r="293" spans="1:7">
      <c r="A293" t="s">
        <v>309</v>
      </c>
      <c r="B293">
        <v>31.41</v>
      </c>
      <c r="C293" t="s">
        <v>1497</v>
      </c>
      <c r="D293" t="s">
        <v>1498</v>
      </c>
      <c r="E293" t="s">
        <v>676</v>
      </c>
      <c r="F293">
        <f>ROUND(B293*基本資料!$B$11,0)</f>
        <v>1885</v>
      </c>
      <c r="G293">
        <f>基本資料!$B$12*(IF(ISNUMBER(SEARCH("Y",C293)),1,0)+IF(ISNUMBER(SEARCH("Y",D293)),1,0)+IF(ISNUMBER(SEARCH("Y-MC",C293)),1,0))</f>
        <v>300</v>
      </c>
    </row>
    <row r="294" spans="1:7">
      <c r="A294" t="s">
        <v>310</v>
      </c>
      <c r="B294">
        <v>31.41</v>
      </c>
      <c r="C294" t="s">
        <v>1497</v>
      </c>
      <c r="D294" t="s">
        <v>1498</v>
      </c>
      <c r="E294" t="s">
        <v>677</v>
      </c>
      <c r="F294">
        <f>ROUND(B294*基本資料!$B$11,0)</f>
        <v>1885</v>
      </c>
      <c r="G294">
        <f>基本資料!$B$12*(IF(ISNUMBER(SEARCH("Y",C294)),1,0)+IF(ISNUMBER(SEARCH("Y",D294)),1,0)+IF(ISNUMBER(SEARCH("Y-MC",C294)),1,0))</f>
        <v>300</v>
      </c>
    </row>
    <row r="295" spans="1:7">
      <c r="A295" t="s">
        <v>311</v>
      </c>
      <c r="B295">
        <v>31.41</v>
      </c>
      <c r="C295" t="s">
        <v>1497</v>
      </c>
      <c r="D295" t="s">
        <v>1498</v>
      </c>
      <c r="E295" t="s">
        <v>678</v>
      </c>
      <c r="F295">
        <f>ROUND(B295*基本資料!$B$11,0)</f>
        <v>1885</v>
      </c>
      <c r="G295">
        <f>基本資料!$B$12*(IF(ISNUMBER(SEARCH("Y",C295)),1,0)+IF(ISNUMBER(SEARCH("Y",D295)),1,0)+IF(ISNUMBER(SEARCH("Y-MC",C295)),1,0))</f>
        <v>300</v>
      </c>
    </row>
    <row r="296" spans="1:7">
      <c r="A296" t="s">
        <v>312</v>
      </c>
      <c r="B296">
        <v>31.41</v>
      </c>
      <c r="C296" t="s">
        <v>1497</v>
      </c>
      <c r="D296" t="s">
        <v>1498</v>
      </c>
      <c r="E296" t="s">
        <v>679</v>
      </c>
      <c r="F296">
        <f>ROUND(B296*基本資料!$B$11,0)</f>
        <v>1885</v>
      </c>
      <c r="G296">
        <f>基本資料!$B$12*(IF(ISNUMBER(SEARCH("Y",C296)),1,0)+IF(ISNUMBER(SEARCH("Y",D296)),1,0)+IF(ISNUMBER(SEARCH("Y-MC",C296)),1,0))</f>
        <v>300</v>
      </c>
    </row>
    <row r="297" spans="1:7">
      <c r="A297" t="s">
        <v>313</v>
      </c>
      <c r="B297">
        <v>31.41</v>
      </c>
      <c r="C297" t="s">
        <v>1497</v>
      </c>
      <c r="D297" t="s">
        <v>1498</v>
      </c>
      <c r="E297" t="s">
        <v>680</v>
      </c>
      <c r="F297">
        <f>ROUND(B297*基本資料!$B$11,0)</f>
        <v>1885</v>
      </c>
      <c r="G297">
        <f>基本資料!$B$12*(IF(ISNUMBER(SEARCH("Y",C297)),1,0)+IF(ISNUMBER(SEARCH("Y",D297)),1,0)+IF(ISNUMBER(SEARCH("Y-MC",C297)),1,0))</f>
        <v>300</v>
      </c>
    </row>
    <row r="298" spans="1:7">
      <c r="A298" t="s">
        <v>314</v>
      </c>
      <c r="B298">
        <v>31.41</v>
      </c>
      <c r="C298" t="s">
        <v>1497</v>
      </c>
      <c r="D298" t="s">
        <v>1498</v>
      </c>
      <c r="E298" t="s">
        <v>681</v>
      </c>
      <c r="F298">
        <f>ROUND(B298*基本資料!$B$11,0)</f>
        <v>1885</v>
      </c>
      <c r="G298">
        <f>基本資料!$B$12*(IF(ISNUMBER(SEARCH("Y",C298)),1,0)+IF(ISNUMBER(SEARCH("Y",D298)),1,0)+IF(ISNUMBER(SEARCH("Y-MC",C298)),1,0))</f>
        <v>300</v>
      </c>
    </row>
    <row r="299" spans="1:7">
      <c r="A299" t="s">
        <v>315</v>
      </c>
      <c r="B299">
        <v>31.41</v>
      </c>
      <c r="C299" t="s">
        <v>1498</v>
      </c>
      <c r="D299" t="s">
        <v>1498</v>
      </c>
      <c r="E299" t="s">
        <v>682</v>
      </c>
      <c r="F299">
        <f>ROUND(B299*基本資料!$B$11,0)</f>
        <v>1885</v>
      </c>
      <c r="G299">
        <f>基本資料!$B$12*(IF(ISNUMBER(SEARCH("Y",C299)),1,0)+IF(ISNUMBER(SEARCH("Y",D299)),1,0)+IF(ISNUMBER(SEARCH("Y-MC",C299)),1,0))</f>
        <v>0</v>
      </c>
    </row>
    <row r="300" spans="1:7">
      <c r="A300" t="s">
        <v>316</v>
      </c>
      <c r="B300">
        <v>31.41</v>
      </c>
      <c r="C300" t="s">
        <v>1497</v>
      </c>
      <c r="D300" t="s">
        <v>1498</v>
      </c>
      <c r="E300" t="s">
        <v>683</v>
      </c>
      <c r="F300">
        <f>ROUND(B300*基本資料!$B$11,0)</f>
        <v>1885</v>
      </c>
      <c r="G300">
        <f>基本資料!$B$12*(IF(ISNUMBER(SEARCH("Y",C300)),1,0)+IF(ISNUMBER(SEARCH("Y",D300)),1,0)+IF(ISNUMBER(SEARCH("Y-MC",C300)),1,0))</f>
        <v>300</v>
      </c>
    </row>
    <row r="301" spans="1:7">
      <c r="A301" t="s">
        <v>317</v>
      </c>
      <c r="B301">
        <v>31.41</v>
      </c>
      <c r="C301" t="s">
        <v>1497</v>
      </c>
      <c r="D301" t="s">
        <v>1498</v>
      </c>
      <c r="E301" t="s">
        <v>684</v>
      </c>
      <c r="F301">
        <f>ROUND(B301*基本資料!$B$11,0)</f>
        <v>1885</v>
      </c>
      <c r="G301">
        <f>基本資料!$B$12*(IF(ISNUMBER(SEARCH("Y",C301)),1,0)+IF(ISNUMBER(SEARCH("Y",D301)),1,0)+IF(ISNUMBER(SEARCH("Y-MC",C301)),1,0))</f>
        <v>300</v>
      </c>
    </row>
    <row r="302" spans="1:7">
      <c r="A302" t="s">
        <v>318</v>
      </c>
      <c r="B302">
        <v>31.41</v>
      </c>
      <c r="C302" t="s">
        <v>1497</v>
      </c>
      <c r="D302" t="s">
        <v>1498</v>
      </c>
      <c r="E302" t="s">
        <v>685</v>
      </c>
      <c r="F302">
        <f>ROUND(B302*基本資料!$B$11,0)</f>
        <v>1885</v>
      </c>
      <c r="G302">
        <f>基本資料!$B$12*(IF(ISNUMBER(SEARCH("Y",C302)),1,0)+IF(ISNUMBER(SEARCH("Y",D302)),1,0)+IF(ISNUMBER(SEARCH("Y-MC",C302)),1,0))</f>
        <v>300</v>
      </c>
    </row>
    <row r="303" spans="1:7">
      <c r="A303" t="s">
        <v>319</v>
      </c>
      <c r="B303">
        <v>31.71</v>
      </c>
      <c r="C303" t="s">
        <v>1497</v>
      </c>
      <c r="D303" t="s">
        <v>1498</v>
      </c>
      <c r="E303" t="s">
        <v>686</v>
      </c>
      <c r="F303">
        <f>ROUND(B303*基本資料!$B$11,0)</f>
        <v>1903</v>
      </c>
      <c r="G303">
        <f>基本資料!$B$12*(IF(ISNUMBER(SEARCH("Y",C303)),1,0)+IF(ISNUMBER(SEARCH("Y",D303)),1,0)+IF(ISNUMBER(SEARCH("Y-MC",C303)),1,0))</f>
        <v>300</v>
      </c>
    </row>
    <row r="304" spans="1:7">
      <c r="A304" t="s">
        <v>320</v>
      </c>
      <c r="B304">
        <v>31.71</v>
      </c>
      <c r="C304" t="s">
        <v>1497</v>
      </c>
      <c r="D304" t="s">
        <v>1498</v>
      </c>
      <c r="E304" t="s">
        <v>687</v>
      </c>
      <c r="F304">
        <f>ROUND(B304*基本資料!$B$11,0)</f>
        <v>1903</v>
      </c>
      <c r="G304">
        <f>基本資料!$B$12*(IF(ISNUMBER(SEARCH("Y",C304)),1,0)+IF(ISNUMBER(SEARCH("Y",D304)),1,0)+IF(ISNUMBER(SEARCH("Y-MC",C304)),1,0))</f>
        <v>300</v>
      </c>
    </row>
    <row r="305" spans="1:7">
      <c r="A305" t="s">
        <v>321</v>
      </c>
      <c r="B305">
        <v>31.71</v>
      </c>
      <c r="C305" t="s">
        <v>1497</v>
      </c>
      <c r="D305" t="s">
        <v>1498</v>
      </c>
      <c r="E305" t="s">
        <v>688</v>
      </c>
      <c r="F305">
        <f>ROUND(B305*基本資料!$B$11,0)</f>
        <v>1903</v>
      </c>
      <c r="G305">
        <f>基本資料!$B$12*(IF(ISNUMBER(SEARCH("Y",C305)),1,0)+IF(ISNUMBER(SEARCH("Y",D305)),1,0)+IF(ISNUMBER(SEARCH("Y-MC",C305)),1,0))</f>
        <v>300</v>
      </c>
    </row>
    <row r="306" spans="1:7">
      <c r="A306" t="s">
        <v>322</v>
      </c>
      <c r="B306">
        <v>31.71</v>
      </c>
      <c r="C306" t="s">
        <v>1497</v>
      </c>
      <c r="D306" t="s">
        <v>1498</v>
      </c>
      <c r="E306" t="s">
        <v>689</v>
      </c>
      <c r="F306">
        <f>ROUND(B306*基本資料!$B$11,0)</f>
        <v>1903</v>
      </c>
      <c r="G306">
        <f>基本資料!$B$12*(IF(ISNUMBER(SEARCH("Y",C306)),1,0)+IF(ISNUMBER(SEARCH("Y",D306)),1,0)+IF(ISNUMBER(SEARCH("Y-MC",C306)),1,0))</f>
        <v>300</v>
      </c>
    </row>
    <row r="307" spans="1:7">
      <c r="A307" t="s">
        <v>323</v>
      </c>
      <c r="B307">
        <v>31.71</v>
      </c>
      <c r="C307" t="s">
        <v>1497</v>
      </c>
      <c r="D307" t="s">
        <v>1498</v>
      </c>
      <c r="E307" t="s">
        <v>690</v>
      </c>
      <c r="F307">
        <f>ROUND(B307*基本資料!$B$11,0)</f>
        <v>1903</v>
      </c>
      <c r="G307">
        <f>基本資料!$B$12*(IF(ISNUMBER(SEARCH("Y",C307)),1,0)+IF(ISNUMBER(SEARCH("Y",D307)),1,0)+IF(ISNUMBER(SEARCH("Y-MC",C307)),1,0))</f>
        <v>300</v>
      </c>
    </row>
    <row r="308" spans="1:7">
      <c r="A308" t="s">
        <v>324</v>
      </c>
      <c r="B308">
        <v>31.71</v>
      </c>
      <c r="C308" t="s">
        <v>1497</v>
      </c>
      <c r="D308" t="s">
        <v>1498</v>
      </c>
      <c r="E308" t="s">
        <v>691</v>
      </c>
      <c r="F308">
        <f>ROUND(B308*基本資料!$B$11,0)</f>
        <v>1903</v>
      </c>
      <c r="G308">
        <f>基本資料!$B$12*(IF(ISNUMBER(SEARCH("Y",C308)),1,0)+IF(ISNUMBER(SEARCH("Y",D308)),1,0)+IF(ISNUMBER(SEARCH("Y-MC",C308)),1,0))</f>
        <v>300</v>
      </c>
    </row>
    <row r="309" spans="1:7">
      <c r="A309" t="s">
        <v>325</v>
      </c>
      <c r="B309">
        <v>31.71</v>
      </c>
      <c r="C309" t="s">
        <v>1497</v>
      </c>
      <c r="D309" t="s">
        <v>1498</v>
      </c>
      <c r="E309" t="s">
        <v>692</v>
      </c>
      <c r="F309">
        <f>ROUND(B309*基本資料!$B$11,0)</f>
        <v>1903</v>
      </c>
      <c r="G309">
        <f>基本資料!$B$12*(IF(ISNUMBER(SEARCH("Y",C309)),1,0)+IF(ISNUMBER(SEARCH("Y",D309)),1,0)+IF(ISNUMBER(SEARCH("Y-MC",C309)),1,0))</f>
        <v>300</v>
      </c>
    </row>
    <row r="310" spans="1:7">
      <c r="A310" t="s">
        <v>326</v>
      </c>
      <c r="B310">
        <v>31.71</v>
      </c>
      <c r="C310" t="s">
        <v>1497</v>
      </c>
      <c r="D310" t="s">
        <v>1498</v>
      </c>
      <c r="E310" t="s">
        <v>693</v>
      </c>
      <c r="F310">
        <f>ROUND(B310*基本資料!$B$11,0)</f>
        <v>1903</v>
      </c>
      <c r="G310">
        <f>基本資料!$B$12*(IF(ISNUMBER(SEARCH("Y",C310)),1,0)+IF(ISNUMBER(SEARCH("Y",D310)),1,0)+IF(ISNUMBER(SEARCH("Y-MC",C310)),1,0))</f>
        <v>300</v>
      </c>
    </row>
    <row r="311" spans="1:7">
      <c r="A311" t="s">
        <v>327</v>
      </c>
      <c r="B311">
        <v>31.71</v>
      </c>
      <c r="C311" t="s">
        <v>1497</v>
      </c>
      <c r="D311" t="s">
        <v>1498</v>
      </c>
      <c r="E311" t="s">
        <v>694</v>
      </c>
      <c r="F311">
        <f>ROUND(B311*基本資料!$B$11,0)</f>
        <v>1903</v>
      </c>
      <c r="G311">
        <f>基本資料!$B$12*(IF(ISNUMBER(SEARCH("Y",C311)),1,0)+IF(ISNUMBER(SEARCH("Y",D311)),1,0)+IF(ISNUMBER(SEARCH("Y-MC",C311)),1,0))</f>
        <v>300</v>
      </c>
    </row>
    <row r="312" spans="1:7">
      <c r="A312" t="s">
        <v>328</v>
      </c>
      <c r="B312">
        <v>31.71</v>
      </c>
      <c r="C312" t="s">
        <v>1497</v>
      </c>
      <c r="D312" t="s">
        <v>1498</v>
      </c>
      <c r="E312" t="s">
        <v>695</v>
      </c>
      <c r="F312">
        <f>ROUND(B312*基本資料!$B$11,0)</f>
        <v>1903</v>
      </c>
      <c r="G312">
        <f>基本資料!$B$12*(IF(ISNUMBER(SEARCH("Y",C312)),1,0)+IF(ISNUMBER(SEARCH("Y",D312)),1,0)+IF(ISNUMBER(SEARCH("Y-MC",C312)),1,0))</f>
        <v>300</v>
      </c>
    </row>
    <row r="313" spans="1:7">
      <c r="A313" t="s">
        <v>329</v>
      </c>
      <c r="B313">
        <v>31.71</v>
      </c>
      <c r="C313" t="s">
        <v>1497</v>
      </c>
      <c r="D313" t="s">
        <v>1498</v>
      </c>
      <c r="E313" t="s">
        <v>696</v>
      </c>
      <c r="F313">
        <f>ROUND(B313*基本資料!$B$11,0)</f>
        <v>1903</v>
      </c>
      <c r="G313">
        <f>基本資料!$B$12*(IF(ISNUMBER(SEARCH("Y",C313)),1,0)+IF(ISNUMBER(SEARCH("Y",D313)),1,0)+IF(ISNUMBER(SEARCH("Y-MC",C313)),1,0))</f>
        <v>300</v>
      </c>
    </row>
    <row r="314" spans="1:7">
      <c r="A314" t="s">
        <v>330</v>
      </c>
      <c r="B314">
        <v>31.71</v>
      </c>
      <c r="C314" t="s">
        <v>1497</v>
      </c>
      <c r="D314" t="s">
        <v>1498</v>
      </c>
      <c r="E314" t="s">
        <v>697</v>
      </c>
      <c r="F314">
        <f>ROUND(B314*基本資料!$B$11,0)</f>
        <v>1903</v>
      </c>
      <c r="G314">
        <f>基本資料!$B$12*(IF(ISNUMBER(SEARCH("Y",C314)),1,0)+IF(ISNUMBER(SEARCH("Y",D314)),1,0)+IF(ISNUMBER(SEARCH("Y-MC",C314)),1,0))</f>
        <v>300</v>
      </c>
    </row>
    <row r="315" spans="1:7">
      <c r="A315" t="s">
        <v>331</v>
      </c>
      <c r="B315">
        <v>31.71</v>
      </c>
      <c r="C315" t="s">
        <v>1497</v>
      </c>
      <c r="D315" t="s">
        <v>1498</v>
      </c>
      <c r="E315" t="s">
        <v>698</v>
      </c>
      <c r="F315">
        <f>ROUND(B315*基本資料!$B$11,0)</f>
        <v>1903</v>
      </c>
      <c r="G315">
        <f>基本資料!$B$12*(IF(ISNUMBER(SEARCH("Y",C315)),1,0)+IF(ISNUMBER(SEARCH("Y",D315)),1,0)+IF(ISNUMBER(SEARCH("Y-MC",C315)),1,0))</f>
        <v>300</v>
      </c>
    </row>
    <row r="316" spans="1:7">
      <c r="A316" t="s">
        <v>332</v>
      </c>
      <c r="B316">
        <v>31.71</v>
      </c>
      <c r="C316" t="s">
        <v>1497</v>
      </c>
      <c r="D316" t="s">
        <v>1498</v>
      </c>
      <c r="E316" t="s">
        <v>699</v>
      </c>
      <c r="F316">
        <f>ROUND(B316*基本資料!$B$11,0)</f>
        <v>1903</v>
      </c>
      <c r="G316">
        <f>基本資料!$B$12*(IF(ISNUMBER(SEARCH("Y",C316)),1,0)+IF(ISNUMBER(SEARCH("Y",D316)),1,0)+IF(ISNUMBER(SEARCH("Y-MC",C316)),1,0))</f>
        <v>300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2CB5D-DEEC-49F4-8DF2-11CE563AB39B}">
  <sheetPr codeName="工作表4"/>
  <dimension ref="A1:D316"/>
  <sheetViews>
    <sheetView workbookViewId="0">
      <selection activeCell="C2" sqref="C2"/>
    </sheetView>
  </sheetViews>
  <sheetFormatPr defaultRowHeight="16.5"/>
  <cols>
    <col min="2" max="2" width="16.375" customWidth="1"/>
  </cols>
  <sheetData>
    <row r="1" spans="1:4" ht="20.25">
      <c r="A1" s="1" t="s">
        <v>741</v>
      </c>
      <c r="D1" s="7" t="s">
        <v>760</v>
      </c>
    </row>
    <row r="3" spans="1:4">
      <c r="A3" t="s">
        <v>377</v>
      </c>
      <c r="B3" t="s">
        <v>742</v>
      </c>
    </row>
    <row r="4" spans="1:4">
      <c r="A4" t="s">
        <v>827</v>
      </c>
      <c r="B4" t="s">
        <v>1183</v>
      </c>
    </row>
    <row r="5" spans="1:4">
      <c r="A5" t="s">
        <v>828</v>
      </c>
      <c r="B5" t="s">
        <v>1184</v>
      </c>
    </row>
    <row r="6" spans="1:4">
      <c r="A6" t="s">
        <v>29</v>
      </c>
      <c r="B6" t="s">
        <v>1185</v>
      </c>
    </row>
    <row r="7" spans="1:4">
      <c r="A7" t="s">
        <v>30</v>
      </c>
      <c r="B7" t="s">
        <v>1186</v>
      </c>
    </row>
    <row r="8" spans="1:4">
      <c r="A8" t="s">
        <v>31</v>
      </c>
      <c r="B8" t="s">
        <v>1187</v>
      </c>
    </row>
    <row r="9" spans="1:4">
      <c r="A9" t="s">
        <v>32</v>
      </c>
      <c r="B9" t="s">
        <v>1188</v>
      </c>
    </row>
    <row r="10" spans="1:4">
      <c r="A10" t="s">
        <v>33</v>
      </c>
      <c r="B10" t="s">
        <v>1189</v>
      </c>
    </row>
    <row r="11" spans="1:4">
      <c r="A11" t="s">
        <v>34</v>
      </c>
      <c r="B11" t="s">
        <v>1190</v>
      </c>
    </row>
    <row r="12" spans="1:4">
      <c r="A12" t="s">
        <v>35</v>
      </c>
      <c r="B12" t="s">
        <v>1191</v>
      </c>
    </row>
    <row r="13" spans="1:4">
      <c r="A13" t="s">
        <v>36</v>
      </c>
      <c r="B13" t="s">
        <v>1192</v>
      </c>
    </row>
    <row r="14" spans="1:4">
      <c r="A14" t="s">
        <v>37</v>
      </c>
      <c r="B14" t="s">
        <v>1193</v>
      </c>
    </row>
    <row r="15" spans="1:4">
      <c r="A15" t="s">
        <v>38</v>
      </c>
      <c r="B15" t="s">
        <v>1194</v>
      </c>
    </row>
    <row r="16" spans="1:4">
      <c r="A16" t="s">
        <v>39</v>
      </c>
      <c r="B16" t="s">
        <v>1195</v>
      </c>
    </row>
    <row r="17" spans="1:2">
      <c r="A17" t="s">
        <v>40</v>
      </c>
      <c r="B17" t="s">
        <v>1196</v>
      </c>
    </row>
    <row r="18" spans="1:2">
      <c r="A18" t="s">
        <v>41</v>
      </c>
      <c r="B18" t="s">
        <v>1197</v>
      </c>
    </row>
    <row r="19" spans="1:2">
      <c r="A19" t="s">
        <v>787</v>
      </c>
      <c r="B19" t="s">
        <v>1198</v>
      </c>
    </row>
    <row r="20" spans="1:2">
      <c r="A20" t="s">
        <v>788</v>
      </c>
      <c r="B20" t="s">
        <v>1199</v>
      </c>
    </row>
    <row r="21" spans="1:2">
      <c r="A21" t="s">
        <v>43</v>
      </c>
      <c r="B21" t="s">
        <v>1200</v>
      </c>
    </row>
    <row r="22" spans="1:2">
      <c r="A22" t="s">
        <v>44</v>
      </c>
      <c r="B22" t="s">
        <v>1201</v>
      </c>
    </row>
    <row r="23" spans="1:2">
      <c r="A23" t="s">
        <v>45</v>
      </c>
      <c r="B23" t="s">
        <v>1202</v>
      </c>
    </row>
    <row r="24" spans="1:2">
      <c r="A24" t="s">
        <v>46</v>
      </c>
      <c r="B24" t="s">
        <v>1203</v>
      </c>
    </row>
    <row r="25" spans="1:2">
      <c r="A25" t="s">
        <v>47</v>
      </c>
      <c r="B25" t="s">
        <v>1204</v>
      </c>
    </row>
    <row r="26" spans="1:2">
      <c r="A26" t="s">
        <v>48</v>
      </c>
      <c r="B26" t="s">
        <v>1205</v>
      </c>
    </row>
    <row r="27" spans="1:2">
      <c r="A27" t="s">
        <v>49</v>
      </c>
      <c r="B27" t="s">
        <v>1206</v>
      </c>
    </row>
    <row r="28" spans="1:2">
      <c r="A28" t="s">
        <v>50</v>
      </c>
      <c r="B28" t="s">
        <v>1207</v>
      </c>
    </row>
    <row r="29" spans="1:2">
      <c r="A29" t="s">
        <v>51</v>
      </c>
      <c r="B29" t="s">
        <v>1208</v>
      </c>
    </row>
    <row r="30" spans="1:2">
      <c r="A30" t="s">
        <v>52</v>
      </c>
      <c r="B30" t="s">
        <v>1209</v>
      </c>
    </row>
    <row r="31" spans="1:2">
      <c r="A31" t="s">
        <v>53</v>
      </c>
      <c r="B31" t="s">
        <v>1210</v>
      </c>
    </row>
    <row r="32" spans="1:2">
      <c r="A32" t="s">
        <v>54</v>
      </c>
      <c r="B32" t="s">
        <v>1211</v>
      </c>
    </row>
    <row r="33" spans="1:2">
      <c r="A33" t="s">
        <v>55</v>
      </c>
      <c r="B33" t="s">
        <v>1212</v>
      </c>
    </row>
    <row r="34" spans="1:2">
      <c r="A34" t="s">
        <v>829</v>
      </c>
      <c r="B34" t="s">
        <v>1213</v>
      </c>
    </row>
    <row r="35" spans="1:2">
      <c r="A35" t="s">
        <v>789</v>
      </c>
      <c r="B35" t="s">
        <v>1214</v>
      </c>
    </row>
    <row r="36" spans="1:2">
      <c r="A36" t="s">
        <v>58</v>
      </c>
      <c r="B36" t="s">
        <v>1215</v>
      </c>
    </row>
    <row r="37" spans="1:2">
      <c r="A37" t="s">
        <v>59</v>
      </c>
      <c r="B37" t="s">
        <v>1216</v>
      </c>
    </row>
    <row r="38" spans="1:2">
      <c r="A38" t="s">
        <v>60</v>
      </c>
      <c r="B38" t="s">
        <v>1217</v>
      </c>
    </row>
    <row r="39" spans="1:2">
      <c r="A39" t="s">
        <v>61</v>
      </c>
      <c r="B39" t="s">
        <v>1218</v>
      </c>
    </row>
    <row r="40" spans="1:2">
      <c r="A40" t="s">
        <v>62</v>
      </c>
      <c r="B40" t="s">
        <v>1219</v>
      </c>
    </row>
    <row r="41" spans="1:2">
      <c r="A41" t="s">
        <v>63</v>
      </c>
      <c r="B41" t="s">
        <v>1220</v>
      </c>
    </row>
    <row r="42" spans="1:2">
      <c r="A42" t="s">
        <v>64</v>
      </c>
      <c r="B42" t="s">
        <v>1221</v>
      </c>
    </row>
    <row r="43" spans="1:2">
      <c r="A43" t="s">
        <v>65</v>
      </c>
      <c r="B43" t="s">
        <v>1222</v>
      </c>
    </row>
    <row r="44" spans="1:2">
      <c r="A44" t="s">
        <v>66</v>
      </c>
      <c r="B44" t="s">
        <v>1223</v>
      </c>
    </row>
    <row r="45" spans="1:2">
      <c r="A45" t="s">
        <v>67</v>
      </c>
      <c r="B45" t="s">
        <v>1224</v>
      </c>
    </row>
    <row r="46" spans="1:2">
      <c r="A46" t="s">
        <v>68</v>
      </c>
      <c r="B46" t="s">
        <v>1225</v>
      </c>
    </row>
    <row r="47" spans="1:2">
      <c r="A47" t="s">
        <v>69</v>
      </c>
      <c r="B47" t="s">
        <v>1226</v>
      </c>
    </row>
    <row r="48" spans="1:2">
      <c r="A48" t="s">
        <v>790</v>
      </c>
      <c r="B48" t="s">
        <v>1227</v>
      </c>
    </row>
    <row r="49" spans="1:2">
      <c r="A49" t="s">
        <v>791</v>
      </c>
      <c r="B49" t="s">
        <v>1228</v>
      </c>
    </row>
    <row r="50" spans="1:2">
      <c r="A50" t="s">
        <v>72</v>
      </c>
      <c r="B50" t="s">
        <v>1229</v>
      </c>
    </row>
    <row r="51" spans="1:2">
      <c r="A51" t="s">
        <v>73</v>
      </c>
      <c r="B51" t="s">
        <v>1230</v>
      </c>
    </row>
    <row r="52" spans="1:2">
      <c r="A52" t="s">
        <v>74</v>
      </c>
      <c r="B52" t="s">
        <v>1231</v>
      </c>
    </row>
    <row r="53" spans="1:2">
      <c r="A53" t="s">
        <v>75</v>
      </c>
      <c r="B53" t="s">
        <v>1232</v>
      </c>
    </row>
    <row r="54" spans="1:2">
      <c r="A54" t="s">
        <v>76</v>
      </c>
      <c r="B54" t="s">
        <v>1233</v>
      </c>
    </row>
    <row r="55" spans="1:2">
      <c r="A55" t="s">
        <v>77</v>
      </c>
      <c r="B55" t="s">
        <v>1234</v>
      </c>
    </row>
    <row r="56" spans="1:2">
      <c r="A56" t="s">
        <v>78</v>
      </c>
      <c r="B56" t="s">
        <v>1235</v>
      </c>
    </row>
    <row r="57" spans="1:2">
      <c r="A57" t="s">
        <v>79</v>
      </c>
      <c r="B57" t="s">
        <v>1236</v>
      </c>
    </row>
    <row r="58" spans="1:2">
      <c r="A58" t="s">
        <v>80</v>
      </c>
      <c r="B58" t="s">
        <v>1237</v>
      </c>
    </row>
    <row r="59" spans="1:2">
      <c r="A59" t="s">
        <v>81</v>
      </c>
      <c r="B59" t="s">
        <v>1238</v>
      </c>
    </row>
    <row r="60" spans="1:2">
      <c r="A60" t="s">
        <v>82</v>
      </c>
      <c r="B60" t="s">
        <v>1239</v>
      </c>
    </row>
    <row r="61" spans="1:2">
      <c r="A61" t="s">
        <v>83</v>
      </c>
      <c r="B61" t="s">
        <v>1240</v>
      </c>
    </row>
    <row r="62" spans="1:2">
      <c r="A62" t="s">
        <v>792</v>
      </c>
      <c r="B62" t="s">
        <v>1241</v>
      </c>
    </row>
    <row r="63" spans="1:2">
      <c r="A63" t="s">
        <v>793</v>
      </c>
      <c r="B63" t="s">
        <v>1242</v>
      </c>
    </row>
    <row r="64" spans="1:2">
      <c r="A64" t="s">
        <v>85</v>
      </c>
      <c r="B64" t="s">
        <v>1243</v>
      </c>
    </row>
    <row r="65" spans="1:2">
      <c r="A65" t="s">
        <v>86</v>
      </c>
      <c r="B65" t="s">
        <v>1244</v>
      </c>
    </row>
    <row r="66" spans="1:2">
      <c r="A66" t="s">
        <v>87</v>
      </c>
      <c r="B66" t="s">
        <v>1245</v>
      </c>
    </row>
    <row r="67" spans="1:2">
      <c r="A67" t="s">
        <v>88</v>
      </c>
      <c r="B67" t="s">
        <v>1246</v>
      </c>
    </row>
    <row r="68" spans="1:2">
      <c r="A68" t="s">
        <v>89</v>
      </c>
      <c r="B68" t="s">
        <v>1247</v>
      </c>
    </row>
    <row r="69" spans="1:2">
      <c r="A69" t="s">
        <v>90</v>
      </c>
      <c r="B69" t="s">
        <v>1248</v>
      </c>
    </row>
    <row r="70" spans="1:2">
      <c r="A70" t="s">
        <v>91</v>
      </c>
      <c r="B70" t="s">
        <v>1249</v>
      </c>
    </row>
    <row r="71" spans="1:2">
      <c r="A71" t="s">
        <v>92</v>
      </c>
      <c r="B71" t="s">
        <v>1250</v>
      </c>
    </row>
    <row r="72" spans="1:2">
      <c r="A72" t="s">
        <v>93</v>
      </c>
      <c r="B72" t="s">
        <v>1251</v>
      </c>
    </row>
    <row r="73" spans="1:2">
      <c r="A73" t="s">
        <v>94</v>
      </c>
      <c r="B73" t="s">
        <v>1252</v>
      </c>
    </row>
    <row r="74" spans="1:2">
      <c r="A74" t="s">
        <v>95</v>
      </c>
      <c r="B74" t="s">
        <v>1253</v>
      </c>
    </row>
    <row r="75" spans="1:2">
      <c r="A75" t="s">
        <v>96</v>
      </c>
      <c r="B75" t="s">
        <v>1254</v>
      </c>
    </row>
    <row r="76" spans="1:2">
      <c r="A76" t="s">
        <v>97</v>
      </c>
      <c r="B76" t="s">
        <v>1255</v>
      </c>
    </row>
    <row r="77" spans="1:2">
      <c r="A77" t="s">
        <v>794</v>
      </c>
      <c r="B77" t="s">
        <v>1256</v>
      </c>
    </row>
    <row r="78" spans="1:2">
      <c r="A78" t="s">
        <v>795</v>
      </c>
      <c r="B78" t="s">
        <v>1257</v>
      </c>
    </row>
    <row r="79" spans="1:2">
      <c r="A79" t="s">
        <v>99</v>
      </c>
      <c r="B79" t="s">
        <v>1258</v>
      </c>
    </row>
    <row r="80" spans="1:2">
      <c r="A80" t="s">
        <v>100</v>
      </c>
      <c r="B80" t="s">
        <v>1259</v>
      </c>
    </row>
    <row r="81" spans="1:2">
      <c r="A81" t="s">
        <v>101</v>
      </c>
      <c r="B81" t="s">
        <v>1260</v>
      </c>
    </row>
    <row r="82" spans="1:2">
      <c r="A82" t="s">
        <v>102</v>
      </c>
      <c r="B82" t="s">
        <v>1261</v>
      </c>
    </row>
    <row r="83" spans="1:2">
      <c r="A83" t="s">
        <v>103</v>
      </c>
      <c r="B83" t="s">
        <v>1262</v>
      </c>
    </row>
    <row r="84" spans="1:2">
      <c r="A84" t="s">
        <v>104</v>
      </c>
      <c r="B84" t="s">
        <v>1263</v>
      </c>
    </row>
    <row r="85" spans="1:2">
      <c r="A85" t="s">
        <v>105</v>
      </c>
      <c r="B85" t="s">
        <v>1264</v>
      </c>
    </row>
    <row r="86" spans="1:2">
      <c r="A86" t="s">
        <v>106</v>
      </c>
      <c r="B86" t="s">
        <v>1265</v>
      </c>
    </row>
    <row r="87" spans="1:2">
      <c r="A87" t="s">
        <v>107</v>
      </c>
      <c r="B87" t="s">
        <v>1266</v>
      </c>
    </row>
    <row r="88" spans="1:2">
      <c r="A88" t="s">
        <v>108</v>
      </c>
      <c r="B88" t="s">
        <v>1267</v>
      </c>
    </row>
    <row r="89" spans="1:2">
      <c r="A89" t="s">
        <v>109</v>
      </c>
      <c r="B89" t="s">
        <v>1268</v>
      </c>
    </row>
    <row r="90" spans="1:2">
      <c r="A90" t="s">
        <v>110</v>
      </c>
      <c r="B90" t="s">
        <v>1269</v>
      </c>
    </row>
    <row r="91" spans="1:2">
      <c r="A91" t="s">
        <v>111</v>
      </c>
      <c r="B91" t="s">
        <v>1270</v>
      </c>
    </row>
    <row r="92" spans="1:2">
      <c r="A92" t="s">
        <v>796</v>
      </c>
      <c r="B92" t="s">
        <v>1271</v>
      </c>
    </row>
    <row r="93" spans="1:2">
      <c r="A93" t="s">
        <v>830</v>
      </c>
      <c r="B93" t="s">
        <v>1272</v>
      </c>
    </row>
    <row r="94" spans="1:2">
      <c r="A94" t="s">
        <v>114</v>
      </c>
      <c r="B94" t="s">
        <v>1273</v>
      </c>
    </row>
    <row r="95" spans="1:2">
      <c r="A95" t="s">
        <v>115</v>
      </c>
      <c r="B95" t="s">
        <v>1274</v>
      </c>
    </row>
    <row r="96" spans="1:2">
      <c r="A96" t="s">
        <v>116</v>
      </c>
      <c r="B96" t="s">
        <v>1275</v>
      </c>
    </row>
    <row r="97" spans="1:2">
      <c r="A97" t="s">
        <v>117</v>
      </c>
      <c r="B97" t="s">
        <v>1276</v>
      </c>
    </row>
    <row r="98" spans="1:2">
      <c r="A98" t="s">
        <v>118</v>
      </c>
      <c r="B98" t="s">
        <v>1277</v>
      </c>
    </row>
    <row r="99" spans="1:2">
      <c r="A99" t="s">
        <v>119</v>
      </c>
      <c r="B99" t="s">
        <v>1278</v>
      </c>
    </row>
    <row r="100" spans="1:2">
      <c r="A100" t="s">
        <v>120</v>
      </c>
      <c r="B100" t="s">
        <v>1279</v>
      </c>
    </row>
    <row r="101" spans="1:2">
      <c r="A101" t="s">
        <v>121</v>
      </c>
      <c r="B101" t="s">
        <v>1280</v>
      </c>
    </row>
    <row r="102" spans="1:2">
      <c r="A102" t="s">
        <v>122</v>
      </c>
      <c r="B102" t="s">
        <v>1281</v>
      </c>
    </row>
    <row r="103" spans="1:2">
      <c r="A103" t="s">
        <v>123</v>
      </c>
      <c r="B103" t="s">
        <v>1282</v>
      </c>
    </row>
    <row r="104" spans="1:2">
      <c r="A104" t="s">
        <v>124</v>
      </c>
      <c r="B104" t="s">
        <v>1283</v>
      </c>
    </row>
    <row r="105" spans="1:2">
      <c r="A105" t="s">
        <v>125</v>
      </c>
      <c r="B105" t="s">
        <v>1284</v>
      </c>
    </row>
    <row r="106" spans="1:2">
      <c r="A106" t="s">
        <v>126</v>
      </c>
      <c r="B106" t="s">
        <v>1285</v>
      </c>
    </row>
    <row r="107" spans="1:2">
      <c r="A107" t="s">
        <v>797</v>
      </c>
      <c r="B107" t="s">
        <v>1286</v>
      </c>
    </row>
    <row r="108" spans="1:2">
      <c r="A108" t="s">
        <v>798</v>
      </c>
      <c r="B108" t="s">
        <v>1287</v>
      </c>
    </row>
    <row r="109" spans="1:2">
      <c r="A109" t="s">
        <v>129</v>
      </c>
      <c r="B109" t="s">
        <v>1288</v>
      </c>
    </row>
    <row r="110" spans="1:2">
      <c r="A110" t="s">
        <v>130</v>
      </c>
      <c r="B110" t="s">
        <v>1289</v>
      </c>
    </row>
    <row r="111" spans="1:2">
      <c r="A111" t="s">
        <v>131</v>
      </c>
      <c r="B111" t="s">
        <v>1290</v>
      </c>
    </row>
    <row r="112" spans="1:2">
      <c r="A112" t="s">
        <v>132</v>
      </c>
      <c r="B112" t="s">
        <v>1291</v>
      </c>
    </row>
    <row r="113" spans="1:2">
      <c r="A113" t="s">
        <v>133</v>
      </c>
      <c r="B113" t="s">
        <v>1292</v>
      </c>
    </row>
    <row r="114" spans="1:2">
      <c r="A114" t="s">
        <v>134</v>
      </c>
      <c r="B114" t="s">
        <v>1293</v>
      </c>
    </row>
    <row r="115" spans="1:2">
      <c r="A115" t="s">
        <v>135</v>
      </c>
      <c r="B115" t="s">
        <v>1294</v>
      </c>
    </row>
    <row r="116" spans="1:2">
      <c r="A116" t="s">
        <v>136</v>
      </c>
      <c r="B116" t="s">
        <v>1295</v>
      </c>
    </row>
    <row r="117" spans="1:2">
      <c r="A117" t="s">
        <v>137</v>
      </c>
      <c r="B117" t="s">
        <v>1296</v>
      </c>
    </row>
    <row r="118" spans="1:2">
      <c r="A118" t="s">
        <v>138</v>
      </c>
      <c r="B118" t="s">
        <v>1297</v>
      </c>
    </row>
    <row r="119" spans="1:2">
      <c r="A119" t="s">
        <v>139</v>
      </c>
      <c r="B119" t="s">
        <v>1298</v>
      </c>
    </row>
    <row r="120" spans="1:2">
      <c r="A120" t="s">
        <v>140</v>
      </c>
      <c r="B120" t="s">
        <v>1299</v>
      </c>
    </row>
    <row r="121" spans="1:2">
      <c r="A121" t="s">
        <v>799</v>
      </c>
      <c r="B121" t="s">
        <v>1300</v>
      </c>
    </row>
    <row r="122" spans="1:2">
      <c r="A122" t="s">
        <v>800</v>
      </c>
      <c r="B122" t="s">
        <v>1301</v>
      </c>
    </row>
    <row r="123" spans="1:2">
      <c r="A123" t="s">
        <v>142</v>
      </c>
      <c r="B123" t="s">
        <v>1302</v>
      </c>
    </row>
    <row r="124" spans="1:2">
      <c r="A124" t="s">
        <v>143</v>
      </c>
      <c r="B124" t="s">
        <v>1303</v>
      </c>
    </row>
    <row r="125" spans="1:2">
      <c r="A125" t="s">
        <v>144</v>
      </c>
      <c r="B125" t="s">
        <v>1304</v>
      </c>
    </row>
    <row r="126" spans="1:2">
      <c r="A126" t="s">
        <v>145</v>
      </c>
      <c r="B126" t="s">
        <v>1305</v>
      </c>
    </row>
    <row r="127" spans="1:2">
      <c r="A127" t="s">
        <v>146</v>
      </c>
      <c r="B127" t="s">
        <v>1306</v>
      </c>
    </row>
    <row r="128" spans="1:2">
      <c r="A128" t="s">
        <v>147</v>
      </c>
      <c r="B128" t="s">
        <v>1307</v>
      </c>
    </row>
    <row r="129" spans="1:2">
      <c r="A129" t="s">
        <v>148</v>
      </c>
      <c r="B129" t="s">
        <v>1308</v>
      </c>
    </row>
    <row r="130" spans="1:2">
      <c r="A130" t="s">
        <v>149</v>
      </c>
      <c r="B130" t="s">
        <v>1309</v>
      </c>
    </row>
    <row r="131" spans="1:2">
      <c r="A131" t="s">
        <v>150</v>
      </c>
      <c r="B131" t="s">
        <v>1310</v>
      </c>
    </row>
    <row r="132" spans="1:2">
      <c r="A132" t="s">
        <v>151</v>
      </c>
      <c r="B132" t="s">
        <v>1311</v>
      </c>
    </row>
    <row r="133" spans="1:2">
      <c r="A133" t="s">
        <v>152</v>
      </c>
      <c r="B133" t="s">
        <v>1312</v>
      </c>
    </row>
    <row r="134" spans="1:2">
      <c r="A134" t="s">
        <v>153</v>
      </c>
      <c r="B134" t="s">
        <v>1313</v>
      </c>
    </row>
    <row r="135" spans="1:2">
      <c r="A135" t="s">
        <v>801</v>
      </c>
      <c r="B135" t="s">
        <v>1314</v>
      </c>
    </row>
    <row r="136" spans="1:2">
      <c r="A136" t="s">
        <v>802</v>
      </c>
      <c r="B136" t="s">
        <v>1315</v>
      </c>
    </row>
    <row r="137" spans="1:2">
      <c r="A137" t="s">
        <v>155</v>
      </c>
      <c r="B137" t="s">
        <v>1316</v>
      </c>
    </row>
    <row r="138" spans="1:2">
      <c r="A138" t="s">
        <v>156</v>
      </c>
      <c r="B138" t="s">
        <v>1317</v>
      </c>
    </row>
    <row r="139" spans="1:2">
      <c r="A139" t="s">
        <v>157</v>
      </c>
      <c r="B139" t="s">
        <v>1318</v>
      </c>
    </row>
    <row r="140" spans="1:2">
      <c r="A140" t="s">
        <v>158</v>
      </c>
      <c r="B140" t="s">
        <v>1319</v>
      </c>
    </row>
    <row r="141" spans="1:2">
      <c r="A141" t="s">
        <v>159</v>
      </c>
      <c r="B141" t="s">
        <v>1320</v>
      </c>
    </row>
    <row r="142" spans="1:2">
      <c r="A142" t="s">
        <v>160</v>
      </c>
      <c r="B142" t="s">
        <v>1321</v>
      </c>
    </row>
    <row r="143" spans="1:2">
      <c r="A143" t="s">
        <v>161</v>
      </c>
      <c r="B143" t="s">
        <v>1322</v>
      </c>
    </row>
    <row r="144" spans="1:2">
      <c r="A144" t="s">
        <v>162</v>
      </c>
      <c r="B144" t="s">
        <v>1323</v>
      </c>
    </row>
    <row r="145" spans="1:2">
      <c r="A145" t="s">
        <v>163</v>
      </c>
      <c r="B145" t="s">
        <v>1324</v>
      </c>
    </row>
    <row r="146" spans="1:2">
      <c r="A146" t="s">
        <v>164</v>
      </c>
      <c r="B146" t="s">
        <v>1325</v>
      </c>
    </row>
    <row r="147" spans="1:2">
      <c r="A147" t="s">
        <v>165</v>
      </c>
      <c r="B147" t="s">
        <v>1326</v>
      </c>
    </row>
    <row r="148" spans="1:2">
      <c r="A148" t="s">
        <v>166</v>
      </c>
      <c r="B148" t="s">
        <v>1327</v>
      </c>
    </row>
    <row r="149" spans="1:2">
      <c r="A149" t="s">
        <v>803</v>
      </c>
      <c r="B149" t="s">
        <v>1328</v>
      </c>
    </row>
    <row r="150" spans="1:2">
      <c r="A150" t="s">
        <v>804</v>
      </c>
      <c r="B150" t="s">
        <v>1329</v>
      </c>
    </row>
    <row r="151" spans="1:2">
      <c r="A151" t="s">
        <v>169</v>
      </c>
      <c r="B151" t="s">
        <v>1330</v>
      </c>
    </row>
    <row r="152" spans="1:2">
      <c r="A152" t="s">
        <v>170</v>
      </c>
      <c r="B152" t="s">
        <v>1331</v>
      </c>
    </row>
    <row r="153" spans="1:2">
      <c r="A153" t="s">
        <v>171</v>
      </c>
      <c r="B153" t="s">
        <v>1332</v>
      </c>
    </row>
    <row r="154" spans="1:2">
      <c r="A154" t="s">
        <v>172</v>
      </c>
      <c r="B154" t="s">
        <v>1333</v>
      </c>
    </row>
    <row r="155" spans="1:2">
      <c r="A155" t="s">
        <v>173</v>
      </c>
      <c r="B155" t="s">
        <v>1334</v>
      </c>
    </row>
    <row r="156" spans="1:2">
      <c r="A156" t="s">
        <v>174</v>
      </c>
      <c r="B156" t="s">
        <v>1335</v>
      </c>
    </row>
    <row r="157" spans="1:2">
      <c r="A157" t="s">
        <v>175</v>
      </c>
      <c r="B157" t="s">
        <v>1336</v>
      </c>
    </row>
    <row r="158" spans="1:2">
      <c r="A158" t="s">
        <v>176</v>
      </c>
      <c r="B158" t="s">
        <v>1337</v>
      </c>
    </row>
    <row r="159" spans="1:2">
      <c r="A159" t="s">
        <v>177</v>
      </c>
      <c r="B159" t="s">
        <v>1338</v>
      </c>
    </row>
    <row r="160" spans="1:2">
      <c r="A160" t="s">
        <v>178</v>
      </c>
      <c r="B160" t="s">
        <v>1339</v>
      </c>
    </row>
    <row r="161" spans="1:2">
      <c r="A161" t="s">
        <v>179</v>
      </c>
      <c r="B161" t="s">
        <v>1340</v>
      </c>
    </row>
    <row r="162" spans="1:2">
      <c r="A162" t="s">
        <v>180</v>
      </c>
      <c r="B162" t="s">
        <v>1341</v>
      </c>
    </row>
    <row r="163" spans="1:2">
      <c r="A163" t="s">
        <v>805</v>
      </c>
      <c r="B163" t="s">
        <v>1342</v>
      </c>
    </row>
    <row r="164" spans="1:2">
      <c r="A164" t="s">
        <v>806</v>
      </c>
      <c r="B164" t="s">
        <v>1343</v>
      </c>
    </row>
    <row r="165" spans="1:2">
      <c r="A165" t="s">
        <v>183</v>
      </c>
      <c r="B165" t="s">
        <v>1344</v>
      </c>
    </row>
    <row r="166" spans="1:2">
      <c r="A166" t="s">
        <v>184</v>
      </c>
      <c r="B166" t="s">
        <v>1345</v>
      </c>
    </row>
    <row r="167" spans="1:2">
      <c r="A167" t="s">
        <v>185</v>
      </c>
      <c r="B167" t="s">
        <v>1346</v>
      </c>
    </row>
    <row r="168" spans="1:2">
      <c r="A168" t="s">
        <v>186</v>
      </c>
      <c r="B168" t="s">
        <v>1347</v>
      </c>
    </row>
    <row r="169" spans="1:2">
      <c r="A169" t="s">
        <v>187</v>
      </c>
      <c r="B169" t="s">
        <v>1348</v>
      </c>
    </row>
    <row r="170" spans="1:2">
      <c r="A170" t="s">
        <v>188</v>
      </c>
      <c r="B170" t="s">
        <v>1349</v>
      </c>
    </row>
    <row r="171" spans="1:2">
      <c r="A171" t="s">
        <v>189</v>
      </c>
      <c r="B171" t="s">
        <v>1350</v>
      </c>
    </row>
    <row r="172" spans="1:2">
      <c r="A172" t="s">
        <v>190</v>
      </c>
      <c r="B172" t="s">
        <v>1351</v>
      </c>
    </row>
    <row r="173" spans="1:2">
      <c r="A173" t="s">
        <v>191</v>
      </c>
      <c r="B173" t="s">
        <v>1352</v>
      </c>
    </row>
    <row r="174" spans="1:2">
      <c r="A174" t="s">
        <v>192</v>
      </c>
      <c r="B174" t="s">
        <v>1353</v>
      </c>
    </row>
    <row r="175" spans="1:2">
      <c r="A175" t="s">
        <v>193</v>
      </c>
      <c r="B175" t="s">
        <v>1354</v>
      </c>
    </row>
    <row r="176" spans="1:2">
      <c r="A176" t="s">
        <v>194</v>
      </c>
      <c r="B176" t="s">
        <v>1355</v>
      </c>
    </row>
    <row r="177" spans="1:2">
      <c r="A177" t="s">
        <v>195</v>
      </c>
      <c r="B177" t="s">
        <v>1356</v>
      </c>
    </row>
    <row r="178" spans="1:2">
      <c r="A178" t="s">
        <v>807</v>
      </c>
      <c r="B178" t="s">
        <v>1357</v>
      </c>
    </row>
    <row r="179" spans="1:2">
      <c r="A179" t="s">
        <v>808</v>
      </c>
      <c r="B179" t="s">
        <v>1358</v>
      </c>
    </row>
    <row r="180" spans="1:2">
      <c r="A180" t="s">
        <v>198</v>
      </c>
      <c r="B180" t="s">
        <v>1359</v>
      </c>
    </row>
    <row r="181" spans="1:2">
      <c r="A181" t="s">
        <v>199</v>
      </c>
      <c r="B181" t="s">
        <v>1360</v>
      </c>
    </row>
    <row r="182" spans="1:2">
      <c r="A182" t="s">
        <v>200</v>
      </c>
      <c r="B182" t="s">
        <v>1361</v>
      </c>
    </row>
    <row r="183" spans="1:2">
      <c r="A183" t="s">
        <v>201</v>
      </c>
      <c r="B183" t="s">
        <v>1362</v>
      </c>
    </row>
    <row r="184" spans="1:2">
      <c r="A184" t="s">
        <v>202</v>
      </c>
      <c r="B184" t="s">
        <v>1363</v>
      </c>
    </row>
    <row r="185" spans="1:2">
      <c r="A185" t="s">
        <v>203</v>
      </c>
      <c r="B185" t="s">
        <v>1364</v>
      </c>
    </row>
    <row r="186" spans="1:2">
      <c r="A186" t="s">
        <v>204</v>
      </c>
      <c r="B186" t="s">
        <v>1365</v>
      </c>
    </row>
    <row r="187" spans="1:2">
      <c r="A187" t="s">
        <v>205</v>
      </c>
      <c r="B187" t="s">
        <v>1366</v>
      </c>
    </row>
    <row r="188" spans="1:2">
      <c r="A188" t="s">
        <v>206</v>
      </c>
      <c r="B188" t="s">
        <v>1367</v>
      </c>
    </row>
    <row r="189" spans="1:2">
      <c r="A189" t="s">
        <v>207</v>
      </c>
      <c r="B189" t="s">
        <v>1368</v>
      </c>
    </row>
    <row r="190" spans="1:2">
      <c r="A190" t="s">
        <v>208</v>
      </c>
      <c r="B190" t="s">
        <v>1369</v>
      </c>
    </row>
    <row r="191" spans="1:2">
      <c r="A191" t="s">
        <v>209</v>
      </c>
      <c r="B191" t="s">
        <v>1370</v>
      </c>
    </row>
    <row r="192" spans="1:2">
      <c r="A192" t="s">
        <v>809</v>
      </c>
      <c r="B192" t="s">
        <v>1371</v>
      </c>
    </row>
    <row r="193" spans="1:2">
      <c r="A193" t="s">
        <v>810</v>
      </c>
      <c r="B193" t="s">
        <v>1372</v>
      </c>
    </row>
    <row r="194" spans="1:2">
      <c r="A194" t="s">
        <v>212</v>
      </c>
      <c r="B194" t="s">
        <v>1373</v>
      </c>
    </row>
    <row r="195" spans="1:2">
      <c r="A195" t="s">
        <v>213</v>
      </c>
      <c r="B195" t="s">
        <v>1374</v>
      </c>
    </row>
    <row r="196" spans="1:2">
      <c r="A196" t="s">
        <v>214</v>
      </c>
      <c r="B196" t="s">
        <v>1375</v>
      </c>
    </row>
    <row r="197" spans="1:2">
      <c r="A197" t="s">
        <v>215</v>
      </c>
      <c r="B197" t="s">
        <v>1376</v>
      </c>
    </row>
    <row r="198" spans="1:2">
      <c r="A198" t="s">
        <v>216</v>
      </c>
      <c r="B198" t="s">
        <v>1377</v>
      </c>
    </row>
    <row r="199" spans="1:2">
      <c r="A199" t="s">
        <v>217</v>
      </c>
      <c r="B199" t="s">
        <v>1378</v>
      </c>
    </row>
    <row r="200" spans="1:2">
      <c r="A200" t="s">
        <v>218</v>
      </c>
      <c r="B200" t="s">
        <v>1379</v>
      </c>
    </row>
    <row r="201" spans="1:2">
      <c r="A201" t="s">
        <v>219</v>
      </c>
      <c r="B201" t="s">
        <v>1380</v>
      </c>
    </row>
    <row r="202" spans="1:2">
      <c r="A202" t="s">
        <v>220</v>
      </c>
      <c r="B202" t="s">
        <v>1381</v>
      </c>
    </row>
    <row r="203" spans="1:2">
      <c r="A203" t="s">
        <v>221</v>
      </c>
      <c r="B203" t="s">
        <v>1382</v>
      </c>
    </row>
    <row r="204" spans="1:2">
      <c r="A204" t="s">
        <v>222</v>
      </c>
      <c r="B204" t="s">
        <v>1383</v>
      </c>
    </row>
    <row r="205" spans="1:2">
      <c r="A205" t="s">
        <v>223</v>
      </c>
      <c r="B205" t="s">
        <v>1384</v>
      </c>
    </row>
    <row r="206" spans="1:2">
      <c r="A206" t="s">
        <v>224</v>
      </c>
      <c r="B206" t="s">
        <v>1385</v>
      </c>
    </row>
    <row r="207" spans="1:2">
      <c r="A207" t="s">
        <v>811</v>
      </c>
      <c r="B207" t="s">
        <v>1386</v>
      </c>
    </row>
    <row r="208" spans="1:2">
      <c r="A208" t="s">
        <v>812</v>
      </c>
      <c r="B208" t="s">
        <v>1387</v>
      </c>
    </row>
    <row r="209" spans="1:2">
      <c r="A209" t="s">
        <v>226</v>
      </c>
      <c r="B209" t="s">
        <v>1388</v>
      </c>
    </row>
    <row r="210" spans="1:2">
      <c r="A210" t="s">
        <v>227</v>
      </c>
      <c r="B210" t="s">
        <v>1389</v>
      </c>
    </row>
    <row r="211" spans="1:2">
      <c r="A211" t="s">
        <v>228</v>
      </c>
      <c r="B211" t="s">
        <v>1390</v>
      </c>
    </row>
    <row r="212" spans="1:2">
      <c r="A212" t="s">
        <v>229</v>
      </c>
      <c r="B212" t="s">
        <v>1391</v>
      </c>
    </row>
    <row r="213" spans="1:2">
      <c r="A213" t="s">
        <v>230</v>
      </c>
      <c r="B213" t="s">
        <v>1392</v>
      </c>
    </row>
    <row r="214" spans="1:2">
      <c r="A214" t="s">
        <v>231</v>
      </c>
      <c r="B214" t="s">
        <v>1393</v>
      </c>
    </row>
    <row r="215" spans="1:2">
      <c r="A215" t="s">
        <v>232</v>
      </c>
      <c r="B215" t="s">
        <v>1394</v>
      </c>
    </row>
    <row r="216" spans="1:2">
      <c r="A216" t="s">
        <v>233</v>
      </c>
      <c r="B216" t="s">
        <v>1395</v>
      </c>
    </row>
    <row r="217" spans="1:2">
      <c r="A217" t="s">
        <v>234</v>
      </c>
      <c r="B217" t="s">
        <v>1396</v>
      </c>
    </row>
    <row r="218" spans="1:2">
      <c r="A218" t="s">
        <v>235</v>
      </c>
      <c r="B218" t="s">
        <v>1397</v>
      </c>
    </row>
    <row r="219" spans="1:2">
      <c r="A219" t="s">
        <v>236</v>
      </c>
      <c r="B219" t="s">
        <v>1398</v>
      </c>
    </row>
    <row r="220" spans="1:2">
      <c r="A220" t="s">
        <v>813</v>
      </c>
      <c r="B220" t="s">
        <v>1399</v>
      </c>
    </row>
    <row r="221" spans="1:2">
      <c r="A221" t="s">
        <v>814</v>
      </c>
      <c r="B221" t="s">
        <v>1400</v>
      </c>
    </row>
    <row r="222" spans="1:2">
      <c r="A222" t="s">
        <v>238</v>
      </c>
      <c r="B222" t="s">
        <v>1401</v>
      </c>
    </row>
    <row r="223" spans="1:2">
      <c r="A223" t="s">
        <v>239</v>
      </c>
      <c r="B223" t="s">
        <v>1402</v>
      </c>
    </row>
    <row r="224" spans="1:2">
      <c r="A224" t="s">
        <v>240</v>
      </c>
      <c r="B224" t="s">
        <v>1403</v>
      </c>
    </row>
    <row r="225" spans="1:2">
      <c r="A225" t="s">
        <v>241</v>
      </c>
      <c r="B225" t="s">
        <v>1404</v>
      </c>
    </row>
    <row r="226" spans="1:2">
      <c r="A226" t="s">
        <v>242</v>
      </c>
      <c r="B226" t="s">
        <v>1405</v>
      </c>
    </row>
    <row r="227" spans="1:2">
      <c r="A227" t="s">
        <v>243</v>
      </c>
      <c r="B227" t="s">
        <v>1406</v>
      </c>
    </row>
    <row r="228" spans="1:2">
      <c r="A228" t="s">
        <v>244</v>
      </c>
      <c r="B228" t="s">
        <v>1407</v>
      </c>
    </row>
    <row r="229" spans="1:2">
      <c r="A229" t="s">
        <v>245</v>
      </c>
      <c r="B229" t="s">
        <v>1408</v>
      </c>
    </row>
    <row r="230" spans="1:2">
      <c r="A230" t="s">
        <v>246</v>
      </c>
      <c r="B230" t="s">
        <v>1409</v>
      </c>
    </row>
    <row r="231" spans="1:2">
      <c r="A231" t="s">
        <v>247</v>
      </c>
      <c r="B231" t="s">
        <v>1410</v>
      </c>
    </row>
    <row r="232" spans="1:2">
      <c r="A232" t="s">
        <v>248</v>
      </c>
      <c r="B232" t="s">
        <v>1411</v>
      </c>
    </row>
    <row r="233" spans="1:2">
      <c r="A233" t="s">
        <v>815</v>
      </c>
      <c r="B233" t="s">
        <v>1412</v>
      </c>
    </row>
    <row r="234" spans="1:2">
      <c r="A234" t="s">
        <v>816</v>
      </c>
      <c r="B234" t="s">
        <v>1413</v>
      </c>
    </row>
    <row r="235" spans="1:2">
      <c r="A235" t="s">
        <v>251</v>
      </c>
      <c r="B235" t="s">
        <v>1414</v>
      </c>
    </row>
    <row r="236" spans="1:2">
      <c r="A236" t="s">
        <v>252</v>
      </c>
      <c r="B236" t="s">
        <v>1415</v>
      </c>
    </row>
    <row r="237" spans="1:2">
      <c r="A237" t="s">
        <v>253</v>
      </c>
      <c r="B237" t="s">
        <v>1416</v>
      </c>
    </row>
    <row r="238" spans="1:2">
      <c r="A238" t="s">
        <v>254</v>
      </c>
      <c r="B238" t="s">
        <v>1417</v>
      </c>
    </row>
    <row r="239" spans="1:2">
      <c r="A239" t="s">
        <v>255</v>
      </c>
      <c r="B239" t="s">
        <v>1418</v>
      </c>
    </row>
    <row r="240" spans="1:2">
      <c r="A240" t="s">
        <v>256</v>
      </c>
      <c r="B240" t="s">
        <v>1419</v>
      </c>
    </row>
    <row r="241" spans="1:2">
      <c r="A241" t="s">
        <v>257</v>
      </c>
      <c r="B241" t="s">
        <v>1420</v>
      </c>
    </row>
    <row r="242" spans="1:2">
      <c r="A242" t="s">
        <v>258</v>
      </c>
      <c r="B242" t="s">
        <v>1421</v>
      </c>
    </row>
    <row r="243" spans="1:2">
      <c r="A243" t="s">
        <v>259</v>
      </c>
      <c r="B243" t="s">
        <v>1422</v>
      </c>
    </row>
    <row r="244" spans="1:2">
      <c r="A244" t="s">
        <v>260</v>
      </c>
      <c r="B244" t="s">
        <v>1423</v>
      </c>
    </row>
    <row r="245" spans="1:2">
      <c r="A245" t="s">
        <v>261</v>
      </c>
      <c r="B245" t="s">
        <v>1424</v>
      </c>
    </row>
    <row r="246" spans="1:2">
      <c r="A246" t="s">
        <v>262</v>
      </c>
      <c r="B246" t="s">
        <v>1425</v>
      </c>
    </row>
    <row r="247" spans="1:2">
      <c r="A247" t="s">
        <v>817</v>
      </c>
      <c r="B247" t="s">
        <v>1426</v>
      </c>
    </row>
    <row r="248" spans="1:2">
      <c r="A248" t="s">
        <v>818</v>
      </c>
      <c r="B248" t="s">
        <v>1427</v>
      </c>
    </row>
    <row r="249" spans="1:2">
      <c r="A249" t="s">
        <v>265</v>
      </c>
      <c r="B249" t="s">
        <v>1428</v>
      </c>
    </row>
    <row r="250" spans="1:2">
      <c r="A250" t="s">
        <v>266</v>
      </c>
      <c r="B250" t="s">
        <v>1429</v>
      </c>
    </row>
    <row r="251" spans="1:2">
      <c r="A251" t="s">
        <v>267</v>
      </c>
      <c r="B251" t="s">
        <v>1430</v>
      </c>
    </row>
    <row r="252" spans="1:2">
      <c r="A252" t="s">
        <v>268</v>
      </c>
      <c r="B252" t="s">
        <v>1431</v>
      </c>
    </row>
    <row r="253" spans="1:2">
      <c r="A253" t="s">
        <v>269</v>
      </c>
      <c r="B253" t="s">
        <v>1432</v>
      </c>
    </row>
    <row r="254" spans="1:2">
      <c r="A254" t="s">
        <v>270</v>
      </c>
      <c r="B254" t="s">
        <v>1433</v>
      </c>
    </row>
    <row r="255" spans="1:2">
      <c r="A255" t="s">
        <v>271</v>
      </c>
      <c r="B255" t="s">
        <v>1434</v>
      </c>
    </row>
    <row r="256" spans="1:2">
      <c r="A256" t="s">
        <v>272</v>
      </c>
      <c r="B256" t="s">
        <v>1435</v>
      </c>
    </row>
    <row r="257" spans="1:2">
      <c r="A257" t="s">
        <v>273</v>
      </c>
      <c r="B257" t="s">
        <v>1436</v>
      </c>
    </row>
    <row r="258" spans="1:2">
      <c r="A258" t="s">
        <v>274</v>
      </c>
      <c r="B258" t="s">
        <v>1437</v>
      </c>
    </row>
    <row r="259" spans="1:2">
      <c r="A259" t="s">
        <v>275</v>
      </c>
      <c r="B259" t="s">
        <v>1438</v>
      </c>
    </row>
    <row r="260" spans="1:2">
      <c r="A260" t="s">
        <v>276</v>
      </c>
      <c r="B260" t="s">
        <v>1439</v>
      </c>
    </row>
    <row r="261" spans="1:2">
      <c r="A261" t="s">
        <v>819</v>
      </c>
      <c r="B261" t="s">
        <v>1440</v>
      </c>
    </row>
    <row r="262" spans="1:2">
      <c r="A262" t="s">
        <v>820</v>
      </c>
      <c r="B262" t="s">
        <v>1441</v>
      </c>
    </row>
    <row r="263" spans="1:2">
      <c r="A263" t="s">
        <v>279</v>
      </c>
      <c r="B263" t="s">
        <v>1442</v>
      </c>
    </row>
    <row r="264" spans="1:2">
      <c r="A264" t="s">
        <v>280</v>
      </c>
      <c r="B264" t="s">
        <v>1443</v>
      </c>
    </row>
    <row r="265" spans="1:2">
      <c r="A265" t="s">
        <v>281</v>
      </c>
      <c r="B265" t="s">
        <v>1444</v>
      </c>
    </row>
    <row r="266" spans="1:2">
      <c r="A266" t="s">
        <v>282</v>
      </c>
      <c r="B266" t="s">
        <v>1445</v>
      </c>
    </row>
    <row r="267" spans="1:2">
      <c r="A267" t="s">
        <v>283</v>
      </c>
      <c r="B267" t="s">
        <v>1446</v>
      </c>
    </row>
    <row r="268" spans="1:2">
      <c r="A268" t="s">
        <v>284</v>
      </c>
      <c r="B268" t="s">
        <v>1447</v>
      </c>
    </row>
    <row r="269" spans="1:2">
      <c r="A269" t="s">
        <v>285</v>
      </c>
      <c r="B269" t="s">
        <v>1448</v>
      </c>
    </row>
    <row r="270" spans="1:2">
      <c r="A270" t="s">
        <v>286</v>
      </c>
      <c r="B270" t="s">
        <v>1449</v>
      </c>
    </row>
    <row r="271" spans="1:2">
      <c r="A271" t="s">
        <v>287</v>
      </c>
      <c r="B271" t="s">
        <v>1450</v>
      </c>
    </row>
    <row r="272" spans="1:2">
      <c r="A272" t="s">
        <v>288</v>
      </c>
      <c r="B272" t="s">
        <v>1451</v>
      </c>
    </row>
    <row r="273" spans="1:2">
      <c r="A273" t="s">
        <v>289</v>
      </c>
      <c r="B273" t="s">
        <v>1452</v>
      </c>
    </row>
    <row r="274" spans="1:2">
      <c r="A274" t="s">
        <v>290</v>
      </c>
      <c r="B274" t="s">
        <v>1453</v>
      </c>
    </row>
    <row r="275" spans="1:2">
      <c r="A275" t="s">
        <v>821</v>
      </c>
      <c r="B275" t="s">
        <v>1454</v>
      </c>
    </row>
    <row r="276" spans="1:2">
      <c r="A276" t="s">
        <v>822</v>
      </c>
      <c r="B276" t="s">
        <v>1455</v>
      </c>
    </row>
    <row r="277" spans="1:2">
      <c r="A277" t="s">
        <v>293</v>
      </c>
      <c r="B277" t="s">
        <v>1456</v>
      </c>
    </row>
    <row r="278" spans="1:2">
      <c r="A278" t="s">
        <v>294</v>
      </c>
      <c r="B278" t="s">
        <v>1457</v>
      </c>
    </row>
    <row r="279" spans="1:2">
      <c r="A279" t="s">
        <v>295</v>
      </c>
      <c r="B279" t="s">
        <v>1458</v>
      </c>
    </row>
    <row r="280" spans="1:2">
      <c r="A280" t="s">
        <v>296</v>
      </c>
      <c r="B280" t="s">
        <v>1459</v>
      </c>
    </row>
    <row r="281" spans="1:2">
      <c r="A281" t="s">
        <v>297</v>
      </c>
      <c r="B281" t="s">
        <v>1460</v>
      </c>
    </row>
    <row r="282" spans="1:2">
      <c r="A282" t="s">
        <v>298</v>
      </c>
      <c r="B282" t="s">
        <v>1461</v>
      </c>
    </row>
    <row r="283" spans="1:2">
      <c r="A283" t="s">
        <v>299</v>
      </c>
      <c r="B283" t="s">
        <v>1462</v>
      </c>
    </row>
    <row r="284" spans="1:2">
      <c r="A284" t="s">
        <v>300</v>
      </c>
      <c r="B284" t="s">
        <v>1463</v>
      </c>
    </row>
    <row r="285" spans="1:2">
      <c r="A285" t="s">
        <v>301</v>
      </c>
      <c r="B285" t="s">
        <v>1464</v>
      </c>
    </row>
    <row r="286" spans="1:2">
      <c r="A286" t="s">
        <v>302</v>
      </c>
      <c r="B286" t="s">
        <v>1465</v>
      </c>
    </row>
    <row r="287" spans="1:2">
      <c r="A287" t="s">
        <v>303</v>
      </c>
      <c r="B287" t="s">
        <v>1466</v>
      </c>
    </row>
    <row r="288" spans="1:2">
      <c r="A288" t="s">
        <v>304</v>
      </c>
      <c r="B288" t="s">
        <v>1467</v>
      </c>
    </row>
    <row r="289" spans="1:2">
      <c r="A289" t="s">
        <v>823</v>
      </c>
      <c r="B289" t="s">
        <v>1468</v>
      </c>
    </row>
    <row r="290" spans="1:2">
      <c r="A290" t="s">
        <v>824</v>
      </c>
      <c r="B290" t="s">
        <v>1469</v>
      </c>
    </row>
    <row r="291" spans="1:2">
      <c r="A291" t="s">
        <v>307</v>
      </c>
      <c r="B291" t="s">
        <v>1470</v>
      </c>
    </row>
    <row r="292" spans="1:2">
      <c r="A292" t="s">
        <v>308</v>
      </c>
      <c r="B292" t="s">
        <v>1471</v>
      </c>
    </row>
    <row r="293" spans="1:2">
      <c r="A293" t="s">
        <v>309</v>
      </c>
      <c r="B293" t="s">
        <v>1472</v>
      </c>
    </row>
    <row r="294" spans="1:2">
      <c r="A294" t="s">
        <v>310</v>
      </c>
      <c r="B294" t="s">
        <v>1473</v>
      </c>
    </row>
    <row r="295" spans="1:2">
      <c r="A295" t="s">
        <v>311</v>
      </c>
      <c r="B295" t="s">
        <v>1474</v>
      </c>
    </row>
    <row r="296" spans="1:2">
      <c r="A296" t="s">
        <v>312</v>
      </c>
      <c r="B296" t="s">
        <v>1475</v>
      </c>
    </row>
    <row r="297" spans="1:2">
      <c r="A297" t="s">
        <v>313</v>
      </c>
      <c r="B297" t="s">
        <v>1476</v>
      </c>
    </row>
    <row r="298" spans="1:2">
      <c r="A298" t="s">
        <v>314</v>
      </c>
      <c r="B298" t="s">
        <v>1477</v>
      </c>
    </row>
    <row r="299" spans="1:2">
      <c r="A299" t="s">
        <v>315</v>
      </c>
      <c r="B299" t="s">
        <v>1478</v>
      </c>
    </row>
    <row r="300" spans="1:2">
      <c r="A300" t="s">
        <v>316</v>
      </c>
      <c r="B300" t="s">
        <v>1479</v>
      </c>
    </row>
    <row r="301" spans="1:2">
      <c r="A301" t="s">
        <v>317</v>
      </c>
      <c r="B301" t="s">
        <v>1480</v>
      </c>
    </row>
    <row r="302" spans="1:2">
      <c r="A302" t="s">
        <v>318</v>
      </c>
      <c r="B302" t="s">
        <v>1481</v>
      </c>
    </row>
    <row r="303" spans="1:2">
      <c r="A303" t="s">
        <v>825</v>
      </c>
      <c r="B303" t="s">
        <v>1482</v>
      </c>
    </row>
    <row r="304" spans="1:2">
      <c r="A304" t="s">
        <v>826</v>
      </c>
      <c r="B304" t="s">
        <v>1483</v>
      </c>
    </row>
    <row r="305" spans="1:2">
      <c r="A305" t="s">
        <v>321</v>
      </c>
      <c r="B305" t="s">
        <v>1484</v>
      </c>
    </row>
    <row r="306" spans="1:2">
      <c r="A306" t="s">
        <v>322</v>
      </c>
      <c r="B306" t="s">
        <v>1485</v>
      </c>
    </row>
    <row r="307" spans="1:2">
      <c r="A307" t="s">
        <v>323</v>
      </c>
      <c r="B307" t="s">
        <v>1486</v>
      </c>
    </row>
    <row r="308" spans="1:2">
      <c r="A308" t="s">
        <v>324</v>
      </c>
      <c r="B308" t="s">
        <v>1487</v>
      </c>
    </row>
    <row r="309" spans="1:2">
      <c r="A309" t="s">
        <v>325</v>
      </c>
      <c r="B309" t="s">
        <v>1488</v>
      </c>
    </row>
    <row r="310" spans="1:2">
      <c r="A310" t="s">
        <v>326</v>
      </c>
      <c r="B310" t="s">
        <v>1489</v>
      </c>
    </row>
    <row r="311" spans="1:2">
      <c r="A311" t="s">
        <v>327</v>
      </c>
      <c r="B311" t="s">
        <v>1490</v>
      </c>
    </row>
    <row r="312" spans="1:2">
      <c r="A312" t="s">
        <v>328</v>
      </c>
      <c r="B312" t="s">
        <v>1491</v>
      </c>
    </row>
    <row r="313" spans="1:2">
      <c r="A313" t="s">
        <v>329</v>
      </c>
      <c r="B313" t="s">
        <v>1492</v>
      </c>
    </row>
    <row r="314" spans="1:2">
      <c r="A314" t="s">
        <v>330</v>
      </c>
      <c r="B314" t="s">
        <v>1493</v>
      </c>
    </row>
    <row r="315" spans="1:2">
      <c r="A315" t="s">
        <v>331</v>
      </c>
      <c r="B315" t="s">
        <v>1494</v>
      </c>
    </row>
    <row r="316" spans="1:2">
      <c r="A316" t="s">
        <v>332</v>
      </c>
      <c r="B316" t="s">
        <v>1495</v>
      </c>
    </row>
  </sheetData>
  <sortState xmlns:xlrd2="http://schemas.microsoft.com/office/spreadsheetml/2017/richdata2" ref="A4:B316">
    <sortCondition ref="A4:A316"/>
  </sortSt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A8F9-C11E-4B14-A63D-8A86B7D56E16}">
  <sheetPr codeName="工作表24"/>
  <dimension ref="A1:D3"/>
  <sheetViews>
    <sheetView workbookViewId="0">
      <selection activeCell="B2" sqref="B2"/>
    </sheetView>
  </sheetViews>
  <sheetFormatPr defaultRowHeight="16.5"/>
  <cols>
    <col min="1" max="1" width="11.5" customWidth="1"/>
  </cols>
  <sheetData>
    <row r="1" spans="1:4" ht="20.25">
      <c r="A1" s="1" t="s">
        <v>883</v>
      </c>
      <c r="D1" t="s">
        <v>885</v>
      </c>
    </row>
    <row r="2" spans="1:4">
      <c r="D2" t="s">
        <v>886</v>
      </c>
    </row>
    <row r="3" spans="1:4">
      <c r="A3" s="2" t="s">
        <v>884</v>
      </c>
      <c r="D3" t="s">
        <v>887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4293-2C40-46B7-8D3B-78B86E8F2714}">
  <sheetPr codeName="工作表10"/>
  <dimension ref="A1:P316"/>
  <sheetViews>
    <sheetView workbookViewId="0">
      <selection activeCell="A2" sqref="A2"/>
    </sheetView>
  </sheetViews>
  <sheetFormatPr defaultRowHeight="16.5"/>
  <cols>
    <col min="2" max="2" width="10.875" customWidth="1"/>
    <col min="3" max="4" width="11.125" customWidth="1"/>
    <col min="6" max="7" width="6.625" customWidth="1"/>
    <col min="8" max="9" width="5.25" customWidth="1"/>
    <col min="12" max="12" width="12.875" customWidth="1"/>
    <col min="16" max="16" width="10.5" customWidth="1"/>
  </cols>
  <sheetData>
    <row r="1" spans="1:16" ht="20.25">
      <c r="A1" s="1" t="s">
        <v>15</v>
      </c>
      <c r="D1" s="7" t="s">
        <v>786</v>
      </c>
    </row>
    <row r="3" spans="1:16" ht="33" customHeight="1">
      <c r="A3" s="2" t="s">
        <v>16</v>
      </c>
      <c r="B3" t="s">
        <v>17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849</v>
      </c>
      <c r="L3" t="s">
        <v>26</v>
      </c>
      <c r="M3" t="s">
        <v>27</v>
      </c>
      <c r="N3" t="s">
        <v>380</v>
      </c>
      <c r="O3" t="s">
        <v>700</v>
      </c>
      <c r="P3" t="s">
        <v>881</v>
      </c>
    </row>
    <row r="4" spans="1:16">
      <c r="A4" t="s">
        <v>11</v>
      </c>
      <c r="B4">
        <v>0</v>
      </c>
      <c r="C4">
        <v>0</v>
      </c>
      <c r="D4">
        <v>0</v>
      </c>
      <c r="F4">
        <v>0</v>
      </c>
      <c r="G4">
        <v>0</v>
      </c>
      <c r="H4">
        <v>1</v>
      </c>
      <c r="I4">
        <v>0</v>
      </c>
    </row>
    <row r="5" spans="1:16">
      <c r="A5" t="s">
        <v>28</v>
      </c>
      <c r="B5">
        <v>3241</v>
      </c>
      <c r="C5">
        <v>300</v>
      </c>
      <c r="D5">
        <v>3541</v>
      </c>
      <c r="F5">
        <v>0</v>
      </c>
      <c r="G5">
        <v>0</v>
      </c>
      <c r="H5">
        <v>0</v>
      </c>
      <c r="I5">
        <v>0</v>
      </c>
    </row>
    <row r="6" spans="1:16">
      <c r="A6" t="s">
        <v>29</v>
      </c>
      <c r="B6">
        <v>0</v>
      </c>
      <c r="C6">
        <v>0</v>
      </c>
      <c r="D6">
        <v>0</v>
      </c>
      <c r="F6">
        <v>0</v>
      </c>
      <c r="G6">
        <v>0</v>
      </c>
      <c r="H6">
        <v>0</v>
      </c>
      <c r="I6">
        <v>1</v>
      </c>
    </row>
    <row r="7" spans="1:16">
      <c r="A7" t="s">
        <v>30</v>
      </c>
      <c r="B7">
        <v>0</v>
      </c>
      <c r="C7">
        <v>0</v>
      </c>
      <c r="D7">
        <v>0</v>
      </c>
      <c r="F7">
        <v>0</v>
      </c>
      <c r="G7">
        <v>0</v>
      </c>
      <c r="H7">
        <v>1</v>
      </c>
      <c r="I7">
        <v>0</v>
      </c>
    </row>
    <row r="8" spans="1:16">
      <c r="A8" t="s">
        <v>31</v>
      </c>
      <c r="B8">
        <v>0</v>
      </c>
      <c r="C8">
        <v>0</v>
      </c>
      <c r="D8">
        <v>0</v>
      </c>
      <c r="F8">
        <v>0</v>
      </c>
      <c r="G8">
        <v>0</v>
      </c>
      <c r="H8">
        <v>1</v>
      </c>
      <c r="I8">
        <v>0</v>
      </c>
    </row>
    <row r="9" spans="1:16">
      <c r="A9" t="s">
        <v>32</v>
      </c>
      <c r="B9">
        <v>0</v>
      </c>
      <c r="C9">
        <v>0</v>
      </c>
      <c r="D9">
        <v>0</v>
      </c>
      <c r="F9">
        <v>0</v>
      </c>
      <c r="G9">
        <v>0</v>
      </c>
      <c r="H9">
        <v>0</v>
      </c>
      <c r="I9">
        <v>1</v>
      </c>
    </row>
    <row r="10" spans="1:16">
      <c r="A10" t="s">
        <v>33</v>
      </c>
      <c r="B10">
        <v>3241</v>
      </c>
      <c r="C10">
        <v>600</v>
      </c>
      <c r="D10">
        <v>3841</v>
      </c>
      <c r="F10">
        <v>0</v>
      </c>
      <c r="G10">
        <v>0</v>
      </c>
      <c r="H10">
        <v>0</v>
      </c>
      <c r="I10">
        <v>0</v>
      </c>
    </row>
    <row r="11" spans="1:16">
      <c r="A11" t="s">
        <v>34</v>
      </c>
      <c r="B11">
        <v>0</v>
      </c>
      <c r="C11">
        <v>0</v>
      </c>
      <c r="D11">
        <v>0</v>
      </c>
      <c r="F11">
        <v>0</v>
      </c>
      <c r="G11">
        <v>0</v>
      </c>
      <c r="H11">
        <v>1</v>
      </c>
      <c r="I11">
        <v>0</v>
      </c>
    </row>
    <row r="12" spans="1:16">
      <c r="A12" t="s">
        <v>35</v>
      </c>
      <c r="B12">
        <v>3241</v>
      </c>
      <c r="C12">
        <v>300</v>
      </c>
      <c r="D12">
        <v>3541</v>
      </c>
      <c r="F12">
        <v>0</v>
      </c>
      <c r="G12">
        <v>0</v>
      </c>
      <c r="H12">
        <v>0</v>
      </c>
      <c r="I12">
        <v>0</v>
      </c>
    </row>
    <row r="13" spans="1:16">
      <c r="A13" t="s">
        <v>36</v>
      </c>
      <c r="B13">
        <v>0</v>
      </c>
      <c r="C13">
        <v>0</v>
      </c>
      <c r="D13">
        <v>0</v>
      </c>
      <c r="F13">
        <v>0</v>
      </c>
      <c r="G13">
        <v>0</v>
      </c>
      <c r="H13">
        <v>1</v>
      </c>
      <c r="I13">
        <v>0</v>
      </c>
    </row>
    <row r="14" spans="1:16">
      <c r="A14" t="s">
        <v>37</v>
      </c>
      <c r="B14">
        <v>3241</v>
      </c>
      <c r="C14">
        <v>300</v>
      </c>
      <c r="D14">
        <v>3541</v>
      </c>
      <c r="F14">
        <v>0</v>
      </c>
      <c r="G14">
        <v>0</v>
      </c>
      <c r="H14">
        <v>0</v>
      </c>
      <c r="I14">
        <v>0</v>
      </c>
    </row>
    <row r="15" spans="1:16">
      <c r="A15" t="s">
        <v>38</v>
      </c>
      <c r="B15">
        <v>0</v>
      </c>
      <c r="C15">
        <v>0</v>
      </c>
      <c r="D15">
        <v>0</v>
      </c>
      <c r="F15">
        <v>0</v>
      </c>
      <c r="G15">
        <v>0</v>
      </c>
      <c r="H15">
        <v>1</v>
      </c>
      <c r="I15">
        <v>0</v>
      </c>
    </row>
    <row r="16" spans="1:16">
      <c r="A16" t="s">
        <v>39</v>
      </c>
      <c r="B16">
        <v>0</v>
      </c>
      <c r="C16">
        <v>0</v>
      </c>
      <c r="D16">
        <v>0</v>
      </c>
      <c r="F16">
        <v>0</v>
      </c>
      <c r="G16">
        <v>0</v>
      </c>
      <c r="H16">
        <v>0</v>
      </c>
      <c r="I16">
        <v>1</v>
      </c>
    </row>
    <row r="17" spans="1:9">
      <c r="A17" t="s">
        <v>40</v>
      </c>
      <c r="B17">
        <v>0</v>
      </c>
      <c r="C17">
        <v>0</v>
      </c>
      <c r="D17">
        <v>0</v>
      </c>
      <c r="F17">
        <v>0</v>
      </c>
      <c r="G17">
        <v>0</v>
      </c>
      <c r="H17">
        <v>1</v>
      </c>
      <c r="I17">
        <v>0</v>
      </c>
    </row>
    <row r="18" spans="1:9">
      <c r="A18" t="s">
        <v>41</v>
      </c>
      <c r="B18">
        <v>0</v>
      </c>
      <c r="C18">
        <v>0</v>
      </c>
      <c r="D18">
        <v>0</v>
      </c>
      <c r="F18">
        <v>0</v>
      </c>
      <c r="G18">
        <v>0</v>
      </c>
      <c r="H18">
        <v>1</v>
      </c>
      <c r="I18">
        <v>0</v>
      </c>
    </row>
    <row r="19" spans="1:9">
      <c r="A19" t="s">
        <v>5</v>
      </c>
      <c r="B19">
        <v>0</v>
      </c>
      <c r="C19">
        <v>0</v>
      </c>
      <c r="D19">
        <v>0</v>
      </c>
      <c r="F19">
        <v>0</v>
      </c>
      <c r="G19">
        <v>0</v>
      </c>
      <c r="H19">
        <v>1</v>
      </c>
      <c r="I19">
        <v>0</v>
      </c>
    </row>
    <row r="20" spans="1:9">
      <c r="A20" t="s">
        <v>42</v>
      </c>
      <c r="B20">
        <v>0</v>
      </c>
      <c r="C20">
        <v>0</v>
      </c>
      <c r="D20">
        <v>0</v>
      </c>
      <c r="F20">
        <v>0</v>
      </c>
      <c r="G20">
        <v>0</v>
      </c>
      <c r="H20">
        <v>1</v>
      </c>
      <c r="I20">
        <v>0</v>
      </c>
    </row>
    <row r="21" spans="1:9">
      <c r="A21" t="s">
        <v>43</v>
      </c>
      <c r="B21">
        <v>0</v>
      </c>
      <c r="C21">
        <v>0</v>
      </c>
      <c r="D21">
        <v>0</v>
      </c>
      <c r="F21">
        <v>0</v>
      </c>
      <c r="G21">
        <v>0</v>
      </c>
      <c r="H21">
        <v>0</v>
      </c>
      <c r="I21">
        <v>1</v>
      </c>
    </row>
    <row r="22" spans="1:9">
      <c r="A22" t="s">
        <v>44</v>
      </c>
      <c r="B22">
        <v>3187</v>
      </c>
      <c r="C22">
        <v>300</v>
      </c>
      <c r="D22">
        <v>3487</v>
      </c>
      <c r="F22">
        <v>0</v>
      </c>
      <c r="G22">
        <v>0</v>
      </c>
      <c r="H22">
        <v>0</v>
      </c>
      <c r="I22">
        <v>0</v>
      </c>
    </row>
    <row r="23" spans="1:9">
      <c r="A23" t="s">
        <v>45</v>
      </c>
      <c r="B23">
        <v>3187</v>
      </c>
      <c r="C23">
        <v>300</v>
      </c>
      <c r="D23">
        <v>3487</v>
      </c>
      <c r="F23">
        <v>0</v>
      </c>
      <c r="G23">
        <v>0</v>
      </c>
      <c r="H23">
        <v>0</v>
      </c>
      <c r="I23">
        <v>0</v>
      </c>
    </row>
    <row r="24" spans="1:9">
      <c r="A24" t="s">
        <v>46</v>
      </c>
      <c r="B24">
        <v>0</v>
      </c>
      <c r="C24">
        <v>0</v>
      </c>
      <c r="D24">
        <v>0</v>
      </c>
      <c r="F24">
        <v>0</v>
      </c>
      <c r="G24">
        <v>0</v>
      </c>
      <c r="H24">
        <v>0</v>
      </c>
      <c r="I24">
        <v>1</v>
      </c>
    </row>
    <row r="25" spans="1:9">
      <c r="A25" t="s">
        <v>47</v>
      </c>
      <c r="B25">
        <v>0</v>
      </c>
      <c r="C25">
        <v>0</v>
      </c>
      <c r="D25">
        <v>0</v>
      </c>
      <c r="F25">
        <v>0</v>
      </c>
      <c r="G25">
        <v>0</v>
      </c>
      <c r="H25">
        <v>0</v>
      </c>
      <c r="I25">
        <v>1</v>
      </c>
    </row>
    <row r="26" spans="1:9">
      <c r="A26" t="s">
        <v>48</v>
      </c>
      <c r="B26">
        <v>0</v>
      </c>
      <c r="C26">
        <v>0</v>
      </c>
      <c r="D26">
        <v>0</v>
      </c>
      <c r="F26">
        <v>0</v>
      </c>
      <c r="G26">
        <v>0</v>
      </c>
      <c r="H26">
        <v>0</v>
      </c>
      <c r="I26">
        <v>1</v>
      </c>
    </row>
    <row r="27" spans="1:9">
      <c r="A27" t="s">
        <v>49</v>
      </c>
      <c r="B27">
        <v>3187</v>
      </c>
      <c r="C27">
        <v>300</v>
      </c>
      <c r="D27">
        <v>3487</v>
      </c>
      <c r="F27">
        <v>0</v>
      </c>
      <c r="G27">
        <v>1</v>
      </c>
      <c r="H27">
        <v>0</v>
      </c>
      <c r="I27">
        <v>0</v>
      </c>
    </row>
    <row r="28" spans="1:9">
      <c r="A28" t="s">
        <v>50</v>
      </c>
      <c r="B28">
        <v>0</v>
      </c>
      <c r="C28">
        <v>0</v>
      </c>
      <c r="D28">
        <v>0</v>
      </c>
      <c r="F28">
        <v>0</v>
      </c>
      <c r="G28">
        <v>0</v>
      </c>
      <c r="H28">
        <v>0</v>
      </c>
      <c r="I28">
        <v>1</v>
      </c>
    </row>
    <row r="29" spans="1:9">
      <c r="A29" t="s">
        <v>51</v>
      </c>
      <c r="B29">
        <v>0</v>
      </c>
      <c r="C29">
        <v>0</v>
      </c>
      <c r="D29">
        <v>0</v>
      </c>
      <c r="F29">
        <v>0</v>
      </c>
      <c r="G29">
        <v>0</v>
      </c>
      <c r="H29">
        <v>1</v>
      </c>
      <c r="I29">
        <v>0</v>
      </c>
    </row>
    <row r="30" spans="1:9">
      <c r="A30" t="s">
        <v>52</v>
      </c>
      <c r="B30">
        <v>0</v>
      </c>
      <c r="C30">
        <v>0</v>
      </c>
      <c r="D30">
        <v>0</v>
      </c>
      <c r="F30">
        <v>0</v>
      </c>
      <c r="G30">
        <v>0</v>
      </c>
      <c r="H30">
        <v>1</v>
      </c>
      <c r="I30">
        <v>0</v>
      </c>
    </row>
    <row r="31" spans="1:9">
      <c r="A31" t="s">
        <v>53</v>
      </c>
      <c r="B31">
        <v>0</v>
      </c>
      <c r="C31">
        <v>0</v>
      </c>
      <c r="D31">
        <v>0</v>
      </c>
      <c r="F31">
        <v>0</v>
      </c>
      <c r="G31">
        <v>0</v>
      </c>
      <c r="H31">
        <v>1</v>
      </c>
      <c r="I31">
        <v>0</v>
      </c>
    </row>
    <row r="32" spans="1:9">
      <c r="A32" t="s">
        <v>54</v>
      </c>
      <c r="B32">
        <v>0</v>
      </c>
      <c r="C32">
        <v>0</v>
      </c>
      <c r="D32">
        <v>0</v>
      </c>
      <c r="F32">
        <v>0</v>
      </c>
      <c r="G32">
        <v>0</v>
      </c>
      <c r="H32">
        <v>1</v>
      </c>
      <c r="I32">
        <v>0</v>
      </c>
    </row>
    <row r="33" spans="1:9">
      <c r="A33" t="s">
        <v>55</v>
      </c>
      <c r="B33">
        <v>0</v>
      </c>
      <c r="C33">
        <v>0</v>
      </c>
      <c r="D33">
        <v>0</v>
      </c>
      <c r="F33">
        <v>0</v>
      </c>
      <c r="G33">
        <v>0</v>
      </c>
      <c r="H33">
        <v>0</v>
      </c>
      <c r="I33">
        <v>1</v>
      </c>
    </row>
    <row r="34" spans="1:9">
      <c r="A34" t="s">
        <v>56</v>
      </c>
      <c r="B34">
        <v>0</v>
      </c>
      <c r="C34">
        <v>0</v>
      </c>
      <c r="D34">
        <v>0</v>
      </c>
      <c r="F34">
        <v>0</v>
      </c>
      <c r="G34">
        <v>0</v>
      </c>
      <c r="H34">
        <v>0</v>
      </c>
      <c r="I34">
        <v>1</v>
      </c>
    </row>
    <row r="35" spans="1:9">
      <c r="A35" t="s">
        <v>57</v>
      </c>
      <c r="B35">
        <v>2346</v>
      </c>
      <c r="C35">
        <v>300</v>
      </c>
      <c r="D35">
        <v>2646</v>
      </c>
      <c r="F35">
        <v>0</v>
      </c>
      <c r="G35">
        <v>0</v>
      </c>
      <c r="H35">
        <v>0</v>
      </c>
      <c r="I35">
        <v>0</v>
      </c>
    </row>
    <row r="36" spans="1:9">
      <c r="A36" t="s">
        <v>58</v>
      </c>
      <c r="B36">
        <v>0</v>
      </c>
      <c r="C36">
        <v>0</v>
      </c>
      <c r="D36">
        <v>0</v>
      </c>
      <c r="F36">
        <v>0</v>
      </c>
      <c r="G36">
        <v>0</v>
      </c>
      <c r="H36">
        <v>1</v>
      </c>
      <c r="I36">
        <v>0</v>
      </c>
    </row>
    <row r="37" spans="1:9">
      <c r="A37" t="s">
        <v>59</v>
      </c>
      <c r="B37">
        <v>2346</v>
      </c>
      <c r="C37">
        <v>300</v>
      </c>
      <c r="D37">
        <v>2646</v>
      </c>
      <c r="F37">
        <v>0</v>
      </c>
      <c r="G37">
        <v>0</v>
      </c>
      <c r="H37">
        <v>0</v>
      </c>
      <c r="I37">
        <v>0</v>
      </c>
    </row>
    <row r="38" spans="1:9">
      <c r="A38" t="s">
        <v>60</v>
      </c>
      <c r="B38">
        <v>2346</v>
      </c>
      <c r="C38">
        <v>300</v>
      </c>
      <c r="D38">
        <v>2646</v>
      </c>
      <c r="F38">
        <v>0</v>
      </c>
      <c r="G38">
        <v>0</v>
      </c>
      <c r="H38">
        <v>0</v>
      </c>
      <c r="I38">
        <v>0</v>
      </c>
    </row>
    <row r="39" spans="1:9">
      <c r="A39" t="s">
        <v>61</v>
      </c>
      <c r="B39">
        <v>0</v>
      </c>
      <c r="C39">
        <v>0</v>
      </c>
      <c r="D39">
        <v>0</v>
      </c>
      <c r="F39">
        <v>0</v>
      </c>
      <c r="G39">
        <v>0</v>
      </c>
      <c r="H39">
        <v>0</v>
      </c>
      <c r="I39">
        <v>1</v>
      </c>
    </row>
    <row r="40" spans="1:9">
      <c r="A40" t="s">
        <v>62</v>
      </c>
      <c r="B40">
        <v>2346</v>
      </c>
      <c r="C40">
        <v>300</v>
      </c>
      <c r="D40">
        <v>2646</v>
      </c>
      <c r="F40">
        <v>0</v>
      </c>
      <c r="G40">
        <v>0</v>
      </c>
      <c r="H40">
        <v>0</v>
      </c>
      <c r="I40">
        <v>0</v>
      </c>
    </row>
    <row r="41" spans="1:9">
      <c r="A41" t="s">
        <v>63</v>
      </c>
      <c r="B41">
        <v>0</v>
      </c>
      <c r="C41">
        <v>0</v>
      </c>
      <c r="D41">
        <v>0</v>
      </c>
      <c r="F41">
        <v>0</v>
      </c>
      <c r="G41">
        <v>0</v>
      </c>
      <c r="H41">
        <v>0</v>
      </c>
      <c r="I41">
        <v>1</v>
      </c>
    </row>
    <row r="42" spans="1:9">
      <c r="A42" t="s">
        <v>64</v>
      </c>
      <c r="B42">
        <v>0</v>
      </c>
      <c r="C42">
        <v>0</v>
      </c>
      <c r="D42">
        <v>0</v>
      </c>
      <c r="F42">
        <v>0</v>
      </c>
      <c r="G42">
        <v>0</v>
      </c>
      <c r="H42">
        <v>0</v>
      </c>
      <c r="I42">
        <v>1</v>
      </c>
    </row>
    <row r="43" spans="1:9">
      <c r="A43" t="s">
        <v>65</v>
      </c>
      <c r="B43">
        <v>2346</v>
      </c>
      <c r="C43">
        <v>300</v>
      </c>
      <c r="D43">
        <v>2646</v>
      </c>
      <c r="F43">
        <v>0</v>
      </c>
      <c r="G43">
        <v>0</v>
      </c>
      <c r="H43">
        <v>0</v>
      </c>
      <c r="I43">
        <v>0</v>
      </c>
    </row>
    <row r="44" spans="1:9">
      <c r="A44" t="s">
        <v>66</v>
      </c>
      <c r="B44">
        <v>2346</v>
      </c>
      <c r="C44">
        <v>300</v>
      </c>
      <c r="D44">
        <v>2646</v>
      </c>
      <c r="F44">
        <v>0</v>
      </c>
      <c r="G44">
        <v>0</v>
      </c>
      <c r="H44">
        <v>0</v>
      </c>
      <c r="I44">
        <v>0</v>
      </c>
    </row>
    <row r="45" spans="1:9">
      <c r="A45" t="s">
        <v>67</v>
      </c>
      <c r="B45">
        <v>2346</v>
      </c>
      <c r="C45">
        <v>300</v>
      </c>
      <c r="D45">
        <v>2646</v>
      </c>
      <c r="F45">
        <v>0</v>
      </c>
      <c r="G45">
        <v>0</v>
      </c>
      <c r="H45">
        <v>0</v>
      </c>
      <c r="I45">
        <v>0</v>
      </c>
    </row>
    <row r="46" spans="1:9">
      <c r="A46" t="s">
        <v>68</v>
      </c>
      <c r="B46">
        <v>0</v>
      </c>
      <c r="C46">
        <v>0</v>
      </c>
      <c r="D46">
        <v>0</v>
      </c>
      <c r="F46">
        <v>0</v>
      </c>
      <c r="G46">
        <v>0</v>
      </c>
      <c r="H46">
        <v>1</v>
      </c>
      <c r="I46">
        <v>0</v>
      </c>
    </row>
    <row r="47" spans="1:9">
      <c r="A47" t="s">
        <v>69</v>
      </c>
      <c r="B47">
        <v>0</v>
      </c>
      <c r="C47">
        <v>0</v>
      </c>
      <c r="D47">
        <v>0</v>
      </c>
      <c r="F47">
        <v>0</v>
      </c>
      <c r="G47">
        <v>0</v>
      </c>
      <c r="H47">
        <v>1</v>
      </c>
      <c r="I47">
        <v>0</v>
      </c>
    </row>
    <row r="48" spans="1:9">
      <c r="A48" t="s">
        <v>70</v>
      </c>
      <c r="B48">
        <v>0</v>
      </c>
      <c r="C48">
        <v>0</v>
      </c>
      <c r="D48">
        <v>0</v>
      </c>
      <c r="F48">
        <v>0</v>
      </c>
      <c r="G48">
        <v>0</v>
      </c>
      <c r="H48">
        <v>0</v>
      </c>
      <c r="I48">
        <v>1</v>
      </c>
    </row>
    <row r="49" spans="1:9">
      <c r="A49" t="s">
        <v>71</v>
      </c>
      <c r="B49">
        <v>0</v>
      </c>
      <c r="C49">
        <v>0</v>
      </c>
      <c r="D49">
        <v>0</v>
      </c>
      <c r="F49">
        <v>0</v>
      </c>
      <c r="G49">
        <v>0</v>
      </c>
      <c r="H49">
        <v>0</v>
      </c>
      <c r="I49">
        <v>1</v>
      </c>
    </row>
    <row r="50" spans="1:9">
      <c r="A50" t="s">
        <v>72</v>
      </c>
      <c r="B50">
        <v>0</v>
      </c>
      <c r="C50">
        <v>0</v>
      </c>
      <c r="D50">
        <v>0</v>
      </c>
      <c r="F50">
        <v>0</v>
      </c>
      <c r="G50">
        <v>0</v>
      </c>
      <c r="H50">
        <v>1</v>
      </c>
      <c r="I50">
        <v>0</v>
      </c>
    </row>
    <row r="51" spans="1:9">
      <c r="A51" t="s">
        <v>73</v>
      </c>
      <c r="B51">
        <v>0</v>
      </c>
      <c r="C51">
        <v>0</v>
      </c>
      <c r="D51">
        <v>0</v>
      </c>
      <c r="F51">
        <v>0</v>
      </c>
      <c r="G51">
        <v>0</v>
      </c>
      <c r="H51">
        <v>0</v>
      </c>
      <c r="I51">
        <v>1</v>
      </c>
    </row>
    <row r="52" spans="1:9">
      <c r="A52" t="s">
        <v>74</v>
      </c>
      <c r="B52">
        <v>0</v>
      </c>
      <c r="C52">
        <v>0</v>
      </c>
      <c r="D52">
        <v>0</v>
      </c>
      <c r="F52">
        <v>0</v>
      </c>
      <c r="G52">
        <v>0</v>
      </c>
      <c r="H52">
        <v>0</v>
      </c>
      <c r="I52">
        <v>1</v>
      </c>
    </row>
    <row r="53" spans="1:9">
      <c r="A53" t="s">
        <v>75</v>
      </c>
      <c r="B53">
        <v>2349</v>
      </c>
      <c r="C53">
        <v>300</v>
      </c>
      <c r="D53">
        <v>2649</v>
      </c>
      <c r="F53">
        <v>0</v>
      </c>
      <c r="G53">
        <v>1</v>
      </c>
      <c r="H53">
        <v>0</v>
      </c>
      <c r="I53">
        <v>0</v>
      </c>
    </row>
    <row r="54" spans="1:9">
      <c r="A54" t="s">
        <v>76</v>
      </c>
      <c r="B54">
        <v>2349</v>
      </c>
      <c r="C54">
        <v>300</v>
      </c>
      <c r="D54">
        <v>2649</v>
      </c>
      <c r="F54">
        <v>0</v>
      </c>
      <c r="G54">
        <v>0</v>
      </c>
      <c r="H54">
        <v>0</v>
      </c>
      <c r="I54">
        <v>0</v>
      </c>
    </row>
    <row r="55" spans="1:9">
      <c r="A55" t="s">
        <v>77</v>
      </c>
      <c r="B55">
        <v>2349</v>
      </c>
      <c r="C55">
        <v>300</v>
      </c>
      <c r="D55">
        <v>2649</v>
      </c>
      <c r="F55">
        <v>0</v>
      </c>
      <c r="G55">
        <v>0</v>
      </c>
      <c r="H55">
        <v>0</v>
      </c>
      <c r="I55">
        <v>0</v>
      </c>
    </row>
    <row r="56" spans="1:9">
      <c r="A56" t="s">
        <v>78</v>
      </c>
      <c r="B56">
        <v>0</v>
      </c>
      <c r="C56">
        <v>0</v>
      </c>
      <c r="D56">
        <v>0</v>
      </c>
      <c r="F56">
        <v>0</v>
      </c>
      <c r="G56">
        <v>0</v>
      </c>
      <c r="H56">
        <v>0</v>
      </c>
      <c r="I56">
        <v>1</v>
      </c>
    </row>
    <row r="57" spans="1:9">
      <c r="A57" t="s">
        <v>79</v>
      </c>
      <c r="B57">
        <v>0</v>
      </c>
      <c r="C57">
        <v>0</v>
      </c>
      <c r="D57">
        <v>0</v>
      </c>
      <c r="F57">
        <v>0</v>
      </c>
      <c r="G57">
        <v>0</v>
      </c>
      <c r="H57">
        <v>0</v>
      </c>
      <c r="I57">
        <v>1</v>
      </c>
    </row>
    <row r="58" spans="1:9">
      <c r="A58" t="s">
        <v>80</v>
      </c>
      <c r="B58">
        <v>0</v>
      </c>
      <c r="C58">
        <v>0</v>
      </c>
      <c r="D58">
        <v>0</v>
      </c>
      <c r="F58">
        <v>0</v>
      </c>
      <c r="G58">
        <v>0</v>
      </c>
      <c r="H58">
        <v>1</v>
      </c>
      <c r="I58">
        <v>0</v>
      </c>
    </row>
    <row r="59" spans="1:9">
      <c r="A59" t="s">
        <v>81</v>
      </c>
      <c r="B59">
        <v>2349</v>
      </c>
      <c r="C59">
        <v>300</v>
      </c>
      <c r="D59">
        <v>2649</v>
      </c>
      <c r="F59">
        <v>0</v>
      </c>
      <c r="G59">
        <v>0</v>
      </c>
      <c r="H59">
        <v>0</v>
      </c>
      <c r="I59">
        <v>0</v>
      </c>
    </row>
    <row r="60" spans="1:9">
      <c r="A60" t="s">
        <v>82</v>
      </c>
      <c r="B60">
        <v>0</v>
      </c>
      <c r="C60">
        <v>0</v>
      </c>
      <c r="D60">
        <v>0</v>
      </c>
      <c r="F60">
        <v>0</v>
      </c>
      <c r="G60">
        <v>0</v>
      </c>
      <c r="H60">
        <v>0</v>
      </c>
      <c r="I60">
        <v>1</v>
      </c>
    </row>
    <row r="61" spans="1:9">
      <c r="A61" t="s">
        <v>83</v>
      </c>
      <c r="B61">
        <v>0</v>
      </c>
      <c r="C61">
        <v>0</v>
      </c>
      <c r="D61">
        <v>0</v>
      </c>
      <c r="F61">
        <v>0</v>
      </c>
      <c r="G61">
        <v>0</v>
      </c>
      <c r="H61">
        <v>0</v>
      </c>
      <c r="I61">
        <v>1</v>
      </c>
    </row>
    <row r="62" spans="1:9">
      <c r="A62" t="s">
        <v>84</v>
      </c>
      <c r="B62">
        <v>2443</v>
      </c>
      <c r="C62">
        <v>600</v>
      </c>
      <c r="D62">
        <v>3043</v>
      </c>
      <c r="F62">
        <v>0</v>
      </c>
      <c r="G62">
        <v>1</v>
      </c>
      <c r="H62">
        <v>0</v>
      </c>
      <c r="I62">
        <v>0</v>
      </c>
    </row>
    <row r="63" spans="1:9">
      <c r="A63" t="s">
        <v>12</v>
      </c>
      <c r="B63">
        <v>3203</v>
      </c>
      <c r="C63">
        <v>300</v>
      </c>
      <c r="D63">
        <v>3503</v>
      </c>
      <c r="F63">
        <v>0</v>
      </c>
      <c r="G63">
        <v>0</v>
      </c>
      <c r="H63">
        <v>0</v>
      </c>
      <c r="I63">
        <v>0</v>
      </c>
    </row>
    <row r="64" spans="1:9">
      <c r="A64" t="s">
        <v>85</v>
      </c>
      <c r="B64">
        <v>3203</v>
      </c>
      <c r="C64">
        <v>300</v>
      </c>
      <c r="D64">
        <v>3503</v>
      </c>
      <c r="F64">
        <v>0</v>
      </c>
      <c r="G64">
        <v>0</v>
      </c>
      <c r="H64">
        <v>0</v>
      </c>
      <c r="I64">
        <v>0</v>
      </c>
    </row>
    <row r="65" spans="1:9">
      <c r="A65" t="s">
        <v>86</v>
      </c>
      <c r="B65">
        <v>0</v>
      </c>
      <c r="C65">
        <v>0</v>
      </c>
      <c r="D65">
        <v>0</v>
      </c>
      <c r="F65">
        <v>0</v>
      </c>
      <c r="G65">
        <v>0</v>
      </c>
      <c r="H65">
        <v>0</v>
      </c>
      <c r="I65">
        <v>1</v>
      </c>
    </row>
    <row r="66" spans="1:9">
      <c r="A66" t="s">
        <v>87</v>
      </c>
      <c r="B66">
        <v>3203</v>
      </c>
      <c r="C66">
        <v>300</v>
      </c>
      <c r="D66">
        <v>3503</v>
      </c>
      <c r="F66">
        <v>0</v>
      </c>
      <c r="G66">
        <v>0</v>
      </c>
      <c r="H66">
        <v>0</v>
      </c>
      <c r="I66">
        <v>0</v>
      </c>
    </row>
    <row r="67" spans="1:9">
      <c r="A67" t="s">
        <v>88</v>
      </c>
      <c r="B67">
        <v>3203</v>
      </c>
      <c r="C67">
        <v>300</v>
      </c>
      <c r="D67">
        <v>3503</v>
      </c>
      <c r="F67">
        <v>0</v>
      </c>
      <c r="G67">
        <v>0</v>
      </c>
      <c r="H67">
        <v>0</v>
      </c>
      <c r="I67">
        <v>0</v>
      </c>
    </row>
    <row r="68" spans="1:9">
      <c r="A68" t="s">
        <v>89</v>
      </c>
      <c r="B68">
        <v>3203</v>
      </c>
      <c r="C68">
        <v>300</v>
      </c>
      <c r="D68">
        <v>3503</v>
      </c>
      <c r="F68">
        <v>0</v>
      </c>
      <c r="G68">
        <v>1</v>
      </c>
      <c r="H68">
        <v>0</v>
      </c>
      <c r="I68">
        <v>0</v>
      </c>
    </row>
    <row r="69" spans="1:9">
      <c r="A69" t="s">
        <v>90</v>
      </c>
      <c r="B69">
        <v>0</v>
      </c>
      <c r="C69">
        <v>0</v>
      </c>
      <c r="D69">
        <v>0</v>
      </c>
      <c r="F69">
        <v>0</v>
      </c>
      <c r="G69">
        <v>0</v>
      </c>
      <c r="H69">
        <v>1</v>
      </c>
      <c r="I69">
        <v>0</v>
      </c>
    </row>
    <row r="70" spans="1:9">
      <c r="A70" t="s">
        <v>91</v>
      </c>
      <c r="B70">
        <v>0</v>
      </c>
      <c r="C70">
        <v>0</v>
      </c>
      <c r="D70">
        <v>0</v>
      </c>
      <c r="F70">
        <v>0</v>
      </c>
      <c r="G70">
        <v>0</v>
      </c>
      <c r="H70">
        <v>1</v>
      </c>
      <c r="I70">
        <v>0</v>
      </c>
    </row>
    <row r="71" spans="1:9">
      <c r="A71" t="s">
        <v>92</v>
      </c>
      <c r="B71">
        <v>0</v>
      </c>
      <c r="C71">
        <v>0</v>
      </c>
      <c r="D71">
        <v>0</v>
      </c>
      <c r="F71">
        <v>0</v>
      </c>
      <c r="G71">
        <v>0</v>
      </c>
      <c r="H71">
        <v>1</v>
      </c>
      <c r="I71">
        <v>0</v>
      </c>
    </row>
    <row r="72" spans="1:9">
      <c r="A72" t="s">
        <v>93</v>
      </c>
      <c r="B72">
        <v>0</v>
      </c>
      <c r="C72">
        <v>0</v>
      </c>
      <c r="D72">
        <v>0</v>
      </c>
      <c r="F72">
        <v>0</v>
      </c>
      <c r="G72">
        <v>0</v>
      </c>
      <c r="H72">
        <v>0</v>
      </c>
      <c r="I72">
        <v>1</v>
      </c>
    </row>
    <row r="73" spans="1:9">
      <c r="A73" t="s">
        <v>94</v>
      </c>
      <c r="B73">
        <v>3203</v>
      </c>
      <c r="C73">
        <v>300</v>
      </c>
      <c r="D73">
        <v>3503</v>
      </c>
      <c r="F73">
        <v>0</v>
      </c>
      <c r="G73">
        <v>0</v>
      </c>
      <c r="H73">
        <v>0</v>
      </c>
      <c r="I73">
        <v>0</v>
      </c>
    </row>
    <row r="74" spans="1:9">
      <c r="A74" t="s">
        <v>95</v>
      </c>
      <c r="B74">
        <v>0</v>
      </c>
      <c r="C74">
        <v>0</v>
      </c>
      <c r="D74">
        <v>0</v>
      </c>
      <c r="F74">
        <v>0</v>
      </c>
      <c r="G74">
        <v>0</v>
      </c>
      <c r="H74">
        <v>1</v>
      </c>
      <c r="I74">
        <v>0</v>
      </c>
    </row>
    <row r="75" spans="1:9">
      <c r="A75" t="s">
        <v>96</v>
      </c>
      <c r="B75">
        <v>3203</v>
      </c>
      <c r="C75">
        <v>300</v>
      </c>
      <c r="D75">
        <v>3503</v>
      </c>
      <c r="F75">
        <v>0</v>
      </c>
      <c r="G75">
        <v>1</v>
      </c>
      <c r="H75">
        <v>0</v>
      </c>
      <c r="I75">
        <v>0</v>
      </c>
    </row>
    <row r="76" spans="1:9">
      <c r="A76" t="s">
        <v>97</v>
      </c>
      <c r="B76">
        <v>0</v>
      </c>
      <c r="C76">
        <v>0</v>
      </c>
      <c r="D76">
        <v>0</v>
      </c>
      <c r="F76">
        <v>0</v>
      </c>
      <c r="G76">
        <v>0</v>
      </c>
      <c r="H76">
        <v>0</v>
      </c>
      <c r="I76">
        <v>1</v>
      </c>
    </row>
    <row r="77" spans="1:9">
      <c r="A77" t="s">
        <v>98</v>
      </c>
      <c r="B77">
        <v>2084</v>
      </c>
      <c r="C77">
        <v>600</v>
      </c>
      <c r="D77">
        <v>2684</v>
      </c>
      <c r="F77">
        <v>0</v>
      </c>
      <c r="G77">
        <v>0</v>
      </c>
      <c r="H77">
        <v>0</v>
      </c>
      <c r="I77">
        <v>0</v>
      </c>
    </row>
    <row r="78" spans="1:9">
      <c r="A78" t="s">
        <v>6</v>
      </c>
      <c r="B78">
        <v>2795</v>
      </c>
      <c r="C78">
        <v>300</v>
      </c>
      <c r="D78">
        <v>3095</v>
      </c>
      <c r="F78">
        <v>0</v>
      </c>
      <c r="G78">
        <v>0</v>
      </c>
      <c r="H78">
        <v>0</v>
      </c>
      <c r="I78">
        <v>0</v>
      </c>
    </row>
    <row r="79" spans="1:9">
      <c r="A79" t="s">
        <v>99</v>
      </c>
      <c r="B79">
        <v>2795</v>
      </c>
      <c r="C79">
        <v>300</v>
      </c>
      <c r="D79">
        <v>3095</v>
      </c>
      <c r="F79">
        <v>0</v>
      </c>
      <c r="G79">
        <v>0</v>
      </c>
      <c r="H79">
        <v>0</v>
      </c>
      <c r="I79">
        <v>0</v>
      </c>
    </row>
    <row r="80" spans="1:9">
      <c r="A80" t="s">
        <v>100</v>
      </c>
      <c r="B80">
        <v>2795</v>
      </c>
      <c r="C80">
        <v>300</v>
      </c>
      <c r="D80">
        <v>3095</v>
      </c>
      <c r="F80">
        <v>0</v>
      </c>
      <c r="G80">
        <v>0</v>
      </c>
      <c r="H80">
        <v>0</v>
      </c>
      <c r="I80">
        <v>0</v>
      </c>
    </row>
    <row r="81" spans="1:9">
      <c r="A81" t="s">
        <v>101</v>
      </c>
      <c r="B81">
        <v>0</v>
      </c>
      <c r="C81">
        <v>0</v>
      </c>
      <c r="D81">
        <v>0</v>
      </c>
      <c r="F81">
        <v>0</v>
      </c>
      <c r="G81">
        <v>0</v>
      </c>
      <c r="H81">
        <v>0</v>
      </c>
      <c r="I81">
        <v>1</v>
      </c>
    </row>
    <row r="82" spans="1:9">
      <c r="A82" t="s">
        <v>102</v>
      </c>
      <c r="B82">
        <v>2795</v>
      </c>
      <c r="C82">
        <v>300</v>
      </c>
      <c r="D82">
        <v>3095</v>
      </c>
      <c r="F82">
        <v>0</v>
      </c>
      <c r="G82">
        <v>0</v>
      </c>
      <c r="H82">
        <v>0</v>
      </c>
      <c r="I82">
        <v>0</v>
      </c>
    </row>
    <row r="83" spans="1:9">
      <c r="A83" t="s">
        <v>103</v>
      </c>
      <c r="B83">
        <v>0</v>
      </c>
      <c r="C83">
        <v>0</v>
      </c>
      <c r="D83">
        <v>0</v>
      </c>
      <c r="F83">
        <v>0</v>
      </c>
      <c r="G83">
        <v>0</v>
      </c>
      <c r="H83">
        <v>0</v>
      </c>
      <c r="I83">
        <v>1</v>
      </c>
    </row>
    <row r="84" spans="1:9">
      <c r="A84" t="s">
        <v>104</v>
      </c>
      <c r="B84">
        <v>2795</v>
      </c>
      <c r="C84">
        <v>300</v>
      </c>
      <c r="D84">
        <v>3095</v>
      </c>
      <c r="F84">
        <v>0</v>
      </c>
      <c r="G84">
        <v>0</v>
      </c>
      <c r="H84">
        <v>0</v>
      </c>
      <c r="I84">
        <v>0</v>
      </c>
    </row>
    <row r="85" spans="1:9">
      <c r="A85" t="s">
        <v>105</v>
      </c>
      <c r="B85">
        <v>2795</v>
      </c>
      <c r="C85">
        <v>300</v>
      </c>
      <c r="D85">
        <v>3095</v>
      </c>
      <c r="F85">
        <v>0</v>
      </c>
      <c r="G85">
        <v>0</v>
      </c>
      <c r="H85">
        <v>0</v>
      </c>
      <c r="I85">
        <v>0</v>
      </c>
    </row>
    <row r="86" spans="1:9">
      <c r="A86" t="s">
        <v>106</v>
      </c>
      <c r="B86">
        <v>0</v>
      </c>
      <c r="C86">
        <v>0</v>
      </c>
      <c r="D86">
        <v>0</v>
      </c>
      <c r="F86">
        <v>0</v>
      </c>
      <c r="G86">
        <v>0</v>
      </c>
      <c r="H86">
        <v>1</v>
      </c>
      <c r="I86">
        <v>0</v>
      </c>
    </row>
    <row r="87" spans="1:9">
      <c r="A87" t="s">
        <v>107</v>
      </c>
      <c r="B87">
        <v>2795</v>
      </c>
      <c r="C87">
        <v>600</v>
      </c>
      <c r="D87">
        <v>3395</v>
      </c>
      <c r="F87">
        <v>0</v>
      </c>
      <c r="G87">
        <v>0</v>
      </c>
      <c r="H87">
        <v>0</v>
      </c>
      <c r="I87">
        <v>0</v>
      </c>
    </row>
    <row r="88" spans="1:9">
      <c r="A88" t="s">
        <v>108</v>
      </c>
      <c r="B88">
        <v>0</v>
      </c>
      <c r="C88">
        <v>0</v>
      </c>
      <c r="D88">
        <v>0</v>
      </c>
      <c r="F88">
        <v>0</v>
      </c>
      <c r="G88">
        <v>0</v>
      </c>
      <c r="H88">
        <v>0</v>
      </c>
      <c r="I88">
        <v>1</v>
      </c>
    </row>
    <row r="89" spans="1:9">
      <c r="A89" t="s">
        <v>109</v>
      </c>
      <c r="B89">
        <v>0</v>
      </c>
      <c r="C89">
        <v>0</v>
      </c>
      <c r="D89">
        <v>0</v>
      </c>
      <c r="F89">
        <v>0</v>
      </c>
      <c r="G89">
        <v>0</v>
      </c>
      <c r="H89">
        <v>1</v>
      </c>
      <c r="I89">
        <v>0</v>
      </c>
    </row>
    <row r="90" spans="1:9">
      <c r="A90" t="s">
        <v>110</v>
      </c>
      <c r="B90">
        <v>0</v>
      </c>
      <c r="C90">
        <v>0</v>
      </c>
      <c r="D90">
        <v>0</v>
      </c>
      <c r="F90">
        <v>0</v>
      </c>
      <c r="G90">
        <v>0</v>
      </c>
      <c r="H90">
        <v>1</v>
      </c>
      <c r="I90">
        <v>0</v>
      </c>
    </row>
    <row r="91" spans="1:9">
      <c r="A91" t="s">
        <v>111</v>
      </c>
      <c r="B91">
        <v>2795</v>
      </c>
      <c r="C91">
        <v>600</v>
      </c>
      <c r="D91">
        <v>3395</v>
      </c>
      <c r="F91">
        <v>0</v>
      </c>
      <c r="G91">
        <v>0</v>
      </c>
      <c r="H91">
        <v>0</v>
      </c>
      <c r="I91">
        <v>0</v>
      </c>
    </row>
    <row r="92" spans="1:9">
      <c r="A92" t="s">
        <v>112</v>
      </c>
      <c r="B92">
        <v>2009</v>
      </c>
      <c r="C92">
        <v>300</v>
      </c>
      <c r="D92">
        <v>2309</v>
      </c>
      <c r="F92">
        <v>0</v>
      </c>
      <c r="G92">
        <v>0</v>
      </c>
      <c r="H92">
        <v>0</v>
      </c>
      <c r="I92">
        <v>0</v>
      </c>
    </row>
    <row r="93" spans="1:9">
      <c r="A93" t="s">
        <v>113</v>
      </c>
      <c r="B93">
        <v>2455</v>
      </c>
      <c r="C93">
        <v>300</v>
      </c>
      <c r="D93">
        <v>2755</v>
      </c>
      <c r="F93">
        <v>0</v>
      </c>
      <c r="G93">
        <v>0</v>
      </c>
      <c r="H93">
        <v>0</v>
      </c>
      <c r="I93">
        <v>0</v>
      </c>
    </row>
    <row r="94" spans="1:9">
      <c r="A94" t="s">
        <v>114</v>
      </c>
      <c r="B94">
        <v>0</v>
      </c>
      <c r="C94">
        <v>0</v>
      </c>
      <c r="D94">
        <v>0</v>
      </c>
      <c r="F94">
        <v>0</v>
      </c>
      <c r="G94">
        <v>0</v>
      </c>
      <c r="H94">
        <v>0</v>
      </c>
      <c r="I94">
        <v>1</v>
      </c>
    </row>
    <row r="95" spans="1:9">
      <c r="A95" t="s">
        <v>115</v>
      </c>
      <c r="B95">
        <v>2455</v>
      </c>
      <c r="C95">
        <v>300</v>
      </c>
      <c r="D95">
        <v>2755</v>
      </c>
      <c r="F95">
        <v>0</v>
      </c>
      <c r="G95">
        <v>0</v>
      </c>
      <c r="H95">
        <v>0</v>
      </c>
      <c r="I95">
        <v>0</v>
      </c>
    </row>
    <row r="96" spans="1:9">
      <c r="A96" t="s">
        <v>116</v>
      </c>
      <c r="B96">
        <v>0</v>
      </c>
      <c r="C96">
        <v>0</v>
      </c>
      <c r="D96">
        <v>0</v>
      </c>
      <c r="F96">
        <v>0</v>
      </c>
      <c r="G96">
        <v>0</v>
      </c>
      <c r="H96">
        <v>0</v>
      </c>
      <c r="I96">
        <v>1</v>
      </c>
    </row>
    <row r="97" spans="1:9">
      <c r="A97" t="s">
        <v>117</v>
      </c>
      <c r="B97">
        <v>0</v>
      </c>
      <c r="C97">
        <v>0</v>
      </c>
      <c r="D97">
        <v>0</v>
      </c>
      <c r="F97">
        <v>0</v>
      </c>
      <c r="G97">
        <v>0</v>
      </c>
      <c r="H97">
        <v>1</v>
      </c>
      <c r="I97">
        <v>0</v>
      </c>
    </row>
    <row r="98" spans="1:9">
      <c r="A98" t="s">
        <v>118</v>
      </c>
      <c r="B98">
        <v>2455</v>
      </c>
      <c r="C98">
        <v>300</v>
      </c>
      <c r="D98">
        <v>2755</v>
      </c>
      <c r="F98">
        <v>0</v>
      </c>
      <c r="G98">
        <v>0</v>
      </c>
      <c r="H98">
        <v>0</v>
      </c>
      <c r="I98">
        <v>0</v>
      </c>
    </row>
    <row r="99" spans="1:9">
      <c r="A99" t="s">
        <v>119</v>
      </c>
      <c r="B99">
        <v>0</v>
      </c>
      <c r="C99">
        <v>0</v>
      </c>
      <c r="D99">
        <v>0</v>
      </c>
      <c r="F99">
        <v>0</v>
      </c>
      <c r="G99">
        <v>0</v>
      </c>
      <c r="H99">
        <v>1</v>
      </c>
      <c r="I99">
        <v>0</v>
      </c>
    </row>
    <row r="100" spans="1:9">
      <c r="A100" t="s">
        <v>120</v>
      </c>
      <c r="B100">
        <v>2455</v>
      </c>
      <c r="C100">
        <v>300</v>
      </c>
      <c r="D100">
        <v>2755</v>
      </c>
      <c r="F100">
        <v>0</v>
      </c>
      <c r="G100">
        <v>0</v>
      </c>
      <c r="H100">
        <v>0</v>
      </c>
      <c r="I100">
        <v>0</v>
      </c>
    </row>
    <row r="101" spans="1:9">
      <c r="A101" t="s">
        <v>121</v>
      </c>
      <c r="B101">
        <v>0</v>
      </c>
      <c r="C101">
        <v>0</v>
      </c>
      <c r="D101">
        <v>0</v>
      </c>
      <c r="F101">
        <v>0</v>
      </c>
      <c r="G101">
        <v>0</v>
      </c>
      <c r="H101">
        <v>1</v>
      </c>
      <c r="I101">
        <v>0</v>
      </c>
    </row>
    <row r="102" spans="1:9">
      <c r="A102" t="s">
        <v>122</v>
      </c>
      <c r="B102">
        <v>0</v>
      </c>
      <c r="C102">
        <v>0</v>
      </c>
      <c r="D102">
        <v>0</v>
      </c>
      <c r="F102">
        <v>0</v>
      </c>
      <c r="G102">
        <v>0</v>
      </c>
      <c r="H102">
        <v>0</v>
      </c>
      <c r="I102">
        <v>1</v>
      </c>
    </row>
    <row r="103" spans="1:9">
      <c r="A103" t="s">
        <v>123</v>
      </c>
      <c r="B103">
        <v>2455</v>
      </c>
      <c r="C103">
        <v>300</v>
      </c>
      <c r="D103">
        <v>2755</v>
      </c>
      <c r="F103">
        <v>0</v>
      </c>
      <c r="G103">
        <v>0</v>
      </c>
      <c r="H103">
        <v>0</v>
      </c>
      <c r="I103">
        <v>0</v>
      </c>
    </row>
    <row r="104" spans="1:9">
      <c r="A104" t="s">
        <v>124</v>
      </c>
      <c r="B104">
        <v>2455</v>
      </c>
      <c r="C104">
        <v>300</v>
      </c>
      <c r="D104">
        <v>2755</v>
      </c>
      <c r="F104">
        <v>0</v>
      </c>
      <c r="G104">
        <v>0</v>
      </c>
      <c r="H104">
        <v>0</v>
      </c>
      <c r="I104">
        <v>0</v>
      </c>
    </row>
    <row r="105" spans="1:9">
      <c r="A105" t="s">
        <v>125</v>
      </c>
      <c r="B105">
        <v>0</v>
      </c>
      <c r="C105">
        <v>0</v>
      </c>
      <c r="D105">
        <v>0</v>
      </c>
      <c r="F105">
        <v>0</v>
      </c>
      <c r="G105">
        <v>0</v>
      </c>
      <c r="H105">
        <v>1</v>
      </c>
      <c r="I105">
        <v>0</v>
      </c>
    </row>
    <row r="106" spans="1:9">
      <c r="A106" t="s">
        <v>126</v>
      </c>
      <c r="B106">
        <v>0</v>
      </c>
      <c r="C106">
        <v>0</v>
      </c>
      <c r="D106">
        <v>0</v>
      </c>
      <c r="F106">
        <v>0</v>
      </c>
      <c r="G106">
        <v>0</v>
      </c>
      <c r="H106">
        <v>1</v>
      </c>
      <c r="I106">
        <v>0</v>
      </c>
    </row>
    <row r="107" spans="1:9">
      <c r="A107" t="s">
        <v>127</v>
      </c>
      <c r="B107">
        <v>0</v>
      </c>
      <c r="C107">
        <v>0</v>
      </c>
      <c r="D107">
        <v>0</v>
      </c>
      <c r="F107">
        <v>0</v>
      </c>
      <c r="G107">
        <v>0</v>
      </c>
      <c r="H107">
        <v>0</v>
      </c>
      <c r="I107">
        <v>1</v>
      </c>
    </row>
    <row r="108" spans="1:9">
      <c r="A108" t="s">
        <v>128</v>
      </c>
      <c r="B108">
        <v>0</v>
      </c>
      <c r="C108">
        <v>0</v>
      </c>
      <c r="D108">
        <v>0</v>
      </c>
      <c r="F108">
        <v>0</v>
      </c>
      <c r="G108">
        <v>0</v>
      </c>
      <c r="H108">
        <v>1</v>
      </c>
      <c r="I108">
        <v>0</v>
      </c>
    </row>
    <row r="109" spans="1:9">
      <c r="A109" t="s">
        <v>129</v>
      </c>
      <c r="B109">
        <v>0</v>
      </c>
      <c r="C109">
        <v>0</v>
      </c>
      <c r="D109">
        <v>0</v>
      </c>
      <c r="F109">
        <v>0</v>
      </c>
      <c r="G109">
        <v>0</v>
      </c>
      <c r="H109">
        <v>1</v>
      </c>
      <c r="I109">
        <v>0</v>
      </c>
    </row>
    <row r="110" spans="1:9">
      <c r="A110" t="s">
        <v>130</v>
      </c>
      <c r="B110">
        <v>0</v>
      </c>
      <c r="C110">
        <v>0</v>
      </c>
      <c r="D110">
        <v>0</v>
      </c>
      <c r="F110">
        <v>0</v>
      </c>
      <c r="G110">
        <v>0</v>
      </c>
      <c r="H110">
        <v>1</v>
      </c>
      <c r="I110">
        <v>0</v>
      </c>
    </row>
    <row r="111" spans="1:9">
      <c r="A111" t="s">
        <v>131</v>
      </c>
      <c r="B111">
        <v>2359</v>
      </c>
      <c r="C111">
        <v>300</v>
      </c>
      <c r="D111">
        <v>2659</v>
      </c>
      <c r="F111">
        <v>0</v>
      </c>
      <c r="G111">
        <v>2</v>
      </c>
      <c r="H111">
        <v>0</v>
      </c>
      <c r="I111">
        <v>0</v>
      </c>
    </row>
    <row r="112" spans="1:9">
      <c r="A112" t="s">
        <v>132</v>
      </c>
      <c r="B112">
        <v>2359</v>
      </c>
      <c r="C112">
        <v>300</v>
      </c>
      <c r="D112">
        <v>2659</v>
      </c>
      <c r="F112">
        <v>0</v>
      </c>
      <c r="G112">
        <v>1</v>
      </c>
      <c r="H112">
        <v>0</v>
      </c>
      <c r="I112">
        <v>0</v>
      </c>
    </row>
    <row r="113" spans="1:9">
      <c r="A113" t="s">
        <v>133</v>
      </c>
      <c r="B113">
        <v>0</v>
      </c>
      <c r="C113">
        <v>0</v>
      </c>
      <c r="D113">
        <v>0</v>
      </c>
      <c r="F113">
        <v>0</v>
      </c>
      <c r="G113">
        <v>0</v>
      </c>
      <c r="H113">
        <v>1</v>
      </c>
      <c r="I113">
        <v>0</v>
      </c>
    </row>
    <row r="114" spans="1:9">
      <c r="A114" t="s">
        <v>134</v>
      </c>
      <c r="B114">
        <v>0</v>
      </c>
      <c r="C114">
        <v>0</v>
      </c>
      <c r="D114">
        <v>0</v>
      </c>
      <c r="F114">
        <v>0</v>
      </c>
      <c r="G114">
        <v>0</v>
      </c>
      <c r="H114">
        <v>1</v>
      </c>
      <c r="I114">
        <v>0</v>
      </c>
    </row>
    <row r="115" spans="1:9">
      <c r="A115" t="s">
        <v>135</v>
      </c>
      <c r="B115">
        <v>2359</v>
      </c>
      <c r="C115">
        <v>300</v>
      </c>
      <c r="D115">
        <v>2659</v>
      </c>
      <c r="F115">
        <v>0</v>
      </c>
      <c r="G115">
        <v>1</v>
      </c>
      <c r="H115">
        <v>0</v>
      </c>
      <c r="I115">
        <v>0</v>
      </c>
    </row>
    <row r="116" spans="1:9">
      <c r="A116" t="s">
        <v>136</v>
      </c>
      <c r="B116">
        <v>2359</v>
      </c>
      <c r="C116">
        <v>300</v>
      </c>
      <c r="D116">
        <v>2659</v>
      </c>
      <c r="F116">
        <v>0</v>
      </c>
      <c r="G116">
        <v>0</v>
      </c>
      <c r="H116">
        <v>0</v>
      </c>
      <c r="I116">
        <v>0</v>
      </c>
    </row>
    <row r="117" spans="1:9">
      <c r="A117" t="s">
        <v>137</v>
      </c>
      <c r="B117">
        <v>2359</v>
      </c>
      <c r="C117">
        <v>300</v>
      </c>
      <c r="D117">
        <v>2659</v>
      </c>
      <c r="F117">
        <v>0</v>
      </c>
      <c r="G117">
        <v>0</v>
      </c>
      <c r="H117">
        <v>0</v>
      </c>
      <c r="I117">
        <v>0</v>
      </c>
    </row>
    <row r="118" spans="1:9">
      <c r="A118" t="s">
        <v>138</v>
      </c>
      <c r="B118">
        <v>2359</v>
      </c>
      <c r="C118">
        <v>300</v>
      </c>
      <c r="D118">
        <v>2659</v>
      </c>
      <c r="F118">
        <v>0</v>
      </c>
      <c r="G118">
        <v>0</v>
      </c>
      <c r="H118">
        <v>0</v>
      </c>
      <c r="I118">
        <v>0</v>
      </c>
    </row>
    <row r="119" spans="1:9">
      <c r="A119" t="s">
        <v>139</v>
      </c>
      <c r="B119">
        <v>0</v>
      </c>
      <c r="C119">
        <v>0</v>
      </c>
      <c r="D119">
        <v>0</v>
      </c>
      <c r="F119">
        <v>0</v>
      </c>
      <c r="G119">
        <v>0</v>
      </c>
      <c r="H119">
        <v>0</v>
      </c>
      <c r="I119">
        <v>1</v>
      </c>
    </row>
    <row r="120" spans="1:9">
      <c r="A120" t="s">
        <v>140</v>
      </c>
      <c r="B120">
        <v>0</v>
      </c>
      <c r="C120">
        <v>0</v>
      </c>
      <c r="D120">
        <v>0</v>
      </c>
      <c r="F120">
        <v>0</v>
      </c>
      <c r="G120">
        <v>0</v>
      </c>
      <c r="H120">
        <v>1</v>
      </c>
      <c r="I120">
        <v>0</v>
      </c>
    </row>
    <row r="121" spans="1:9">
      <c r="A121" t="s">
        <v>141</v>
      </c>
      <c r="B121">
        <v>0</v>
      </c>
      <c r="C121">
        <v>0</v>
      </c>
      <c r="D121">
        <v>0</v>
      </c>
      <c r="F121">
        <v>0</v>
      </c>
      <c r="G121">
        <v>0</v>
      </c>
      <c r="H121">
        <v>1</v>
      </c>
      <c r="I121">
        <v>0</v>
      </c>
    </row>
    <row r="122" spans="1:9">
      <c r="A122" t="s">
        <v>13</v>
      </c>
      <c r="B122">
        <v>2400</v>
      </c>
      <c r="C122">
        <v>300</v>
      </c>
      <c r="D122">
        <v>2700</v>
      </c>
      <c r="F122">
        <v>0</v>
      </c>
      <c r="G122">
        <v>0</v>
      </c>
      <c r="H122">
        <v>0</v>
      </c>
      <c r="I122">
        <v>0</v>
      </c>
    </row>
    <row r="123" spans="1:9">
      <c r="A123" t="s">
        <v>142</v>
      </c>
      <c r="B123">
        <v>0</v>
      </c>
      <c r="C123">
        <v>0</v>
      </c>
      <c r="D123">
        <v>0</v>
      </c>
      <c r="F123">
        <v>0</v>
      </c>
      <c r="G123">
        <v>0</v>
      </c>
      <c r="H123">
        <v>1</v>
      </c>
      <c r="I123">
        <v>0</v>
      </c>
    </row>
    <row r="124" spans="1:9">
      <c r="A124" t="s">
        <v>143</v>
      </c>
      <c r="B124">
        <v>2400</v>
      </c>
      <c r="C124">
        <v>300</v>
      </c>
      <c r="D124">
        <v>2700</v>
      </c>
      <c r="F124">
        <v>0</v>
      </c>
      <c r="G124">
        <v>1</v>
      </c>
      <c r="H124">
        <v>0</v>
      </c>
      <c r="I124">
        <v>0</v>
      </c>
    </row>
    <row r="125" spans="1:9">
      <c r="A125" t="s">
        <v>144</v>
      </c>
      <c r="B125">
        <v>2400</v>
      </c>
      <c r="C125">
        <v>300</v>
      </c>
      <c r="D125">
        <v>2700</v>
      </c>
      <c r="F125">
        <v>0</v>
      </c>
      <c r="G125">
        <v>1</v>
      </c>
      <c r="H125">
        <v>0</v>
      </c>
      <c r="I125">
        <v>0</v>
      </c>
    </row>
    <row r="126" spans="1:9">
      <c r="A126" t="s">
        <v>145</v>
      </c>
      <c r="B126">
        <v>2400</v>
      </c>
      <c r="C126">
        <v>300</v>
      </c>
      <c r="D126">
        <v>2700</v>
      </c>
      <c r="F126">
        <v>0</v>
      </c>
      <c r="G126">
        <v>0</v>
      </c>
      <c r="H126">
        <v>0</v>
      </c>
      <c r="I126">
        <v>0</v>
      </c>
    </row>
    <row r="127" spans="1:9">
      <c r="A127" t="s">
        <v>146</v>
      </c>
      <c r="B127">
        <v>0</v>
      </c>
      <c r="C127">
        <v>0</v>
      </c>
      <c r="D127">
        <v>0</v>
      </c>
      <c r="F127">
        <v>0</v>
      </c>
      <c r="G127">
        <v>0</v>
      </c>
      <c r="H127">
        <v>0</v>
      </c>
      <c r="I127">
        <v>1</v>
      </c>
    </row>
    <row r="128" spans="1:9">
      <c r="A128" t="s">
        <v>147</v>
      </c>
      <c r="B128">
        <v>0</v>
      </c>
      <c r="C128">
        <v>0</v>
      </c>
      <c r="D128">
        <v>0</v>
      </c>
      <c r="F128">
        <v>0</v>
      </c>
      <c r="G128">
        <v>0</v>
      </c>
      <c r="H128">
        <v>0</v>
      </c>
      <c r="I128">
        <v>1</v>
      </c>
    </row>
    <row r="129" spans="1:9">
      <c r="A129" t="s">
        <v>148</v>
      </c>
      <c r="B129">
        <v>2400</v>
      </c>
      <c r="C129">
        <v>300</v>
      </c>
      <c r="D129">
        <v>2700</v>
      </c>
      <c r="F129">
        <v>0</v>
      </c>
      <c r="G129">
        <v>0</v>
      </c>
      <c r="H129">
        <v>0</v>
      </c>
      <c r="I129">
        <v>0</v>
      </c>
    </row>
    <row r="130" spans="1:9">
      <c r="A130" t="s">
        <v>149</v>
      </c>
      <c r="B130">
        <v>0</v>
      </c>
      <c r="C130">
        <v>0</v>
      </c>
      <c r="D130">
        <v>0</v>
      </c>
      <c r="F130">
        <v>0</v>
      </c>
      <c r="G130">
        <v>0</v>
      </c>
      <c r="H130">
        <v>1</v>
      </c>
      <c r="I130">
        <v>0</v>
      </c>
    </row>
    <row r="131" spans="1:9">
      <c r="A131" t="s">
        <v>150</v>
      </c>
      <c r="B131">
        <v>2400</v>
      </c>
      <c r="C131">
        <v>300</v>
      </c>
      <c r="D131">
        <v>2700</v>
      </c>
      <c r="F131">
        <v>0</v>
      </c>
      <c r="G131">
        <v>0</v>
      </c>
      <c r="H131">
        <v>0</v>
      </c>
      <c r="I131">
        <v>0</v>
      </c>
    </row>
    <row r="132" spans="1:9">
      <c r="A132" t="s">
        <v>151</v>
      </c>
      <c r="B132">
        <v>0</v>
      </c>
      <c r="C132">
        <v>0</v>
      </c>
      <c r="D132">
        <v>0</v>
      </c>
      <c r="F132">
        <v>0</v>
      </c>
      <c r="G132">
        <v>0</v>
      </c>
      <c r="H132">
        <v>0</v>
      </c>
      <c r="I132">
        <v>1</v>
      </c>
    </row>
    <row r="133" spans="1:9">
      <c r="A133" t="s">
        <v>152</v>
      </c>
      <c r="B133">
        <v>2400</v>
      </c>
      <c r="C133">
        <v>300</v>
      </c>
      <c r="D133">
        <v>2700</v>
      </c>
      <c r="F133">
        <v>0</v>
      </c>
      <c r="G133">
        <v>0</v>
      </c>
      <c r="H133">
        <v>0</v>
      </c>
      <c r="I133">
        <v>0</v>
      </c>
    </row>
    <row r="134" spans="1:9">
      <c r="A134" t="s">
        <v>153</v>
      </c>
      <c r="B134">
        <v>0</v>
      </c>
      <c r="C134">
        <v>0</v>
      </c>
      <c r="D134">
        <v>0</v>
      </c>
      <c r="F134">
        <v>0</v>
      </c>
      <c r="G134">
        <v>0</v>
      </c>
      <c r="H134">
        <v>1</v>
      </c>
      <c r="I134">
        <v>0</v>
      </c>
    </row>
    <row r="135" spans="1:9">
      <c r="A135" t="s">
        <v>154</v>
      </c>
      <c r="B135">
        <v>0</v>
      </c>
      <c r="C135">
        <v>0</v>
      </c>
      <c r="D135">
        <v>0</v>
      </c>
      <c r="F135">
        <v>0</v>
      </c>
      <c r="G135">
        <v>0</v>
      </c>
      <c r="H135">
        <v>0</v>
      </c>
      <c r="I135">
        <v>1</v>
      </c>
    </row>
    <row r="136" spans="1:9">
      <c r="A136" t="s">
        <v>7</v>
      </c>
      <c r="B136">
        <v>0</v>
      </c>
      <c r="C136">
        <v>0</v>
      </c>
      <c r="D136">
        <v>0</v>
      </c>
      <c r="F136">
        <v>0</v>
      </c>
      <c r="G136">
        <v>0</v>
      </c>
      <c r="H136">
        <v>1</v>
      </c>
      <c r="I136">
        <v>0</v>
      </c>
    </row>
    <row r="137" spans="1:9">
      <c r="A137" t="s">
        <v>155</v>
      </c>
      <c r="B137">
        <v>0</v>
      </c>
      <c r="C137">
        <v>0</v>
      </c>
      <c r="D137">
        <v>0</v>
      </c>
      <c r="F137">
        <v>0</v>
      </c>
      <c r="G137">
        <v>0</v>
      </c>
      <c r="H137">
        <v>0</v>
      </c>
      <c r="I137">
        <v>1</v>
      </c>
    </row>
    <row r="138" spans="1:9">
      <c r="A138" t="s">
        <v>156</v>
      </c>
      <c r="B138">
        <v>1371</v>
      </c>
      <c r="C138">
        <v>300</v>
      </c>
      <c r="D138">
        <v>1671</v>
      </c>
      <c r="F138">
        <v>0</v>
      </c>
      <c r="G138">
        <v>3</v>
      </c>
      <c r="H138">
        <v>0</v>
      </c>
      <c r="I138">
        <v>0</v>
      </c>
    </row>
    <row r="139" spans="1:9">
      <c r="A139" t="s">
        <v>157</v>
      </c>
      <c r="B139">
        <v>0</v>
      </c>
      <c r="C139">
        <v>0</v>
      </c>
      <c r="D139">
        <v>0</v>
      </c>
      <c r="F139">
        <v>0</v>
      </c>
      <c r="G139">
        <v>0</v>
      </c>
      <c r="H139">
        <v>1</v>
      </c>
      <c r="I139">
        <v>0</v>
      </c>
    </row>
    <row r="140" spans="1:9">
      <c r="A140" t="s">
        <v>158</v>
      </c>
      <c r="B140">
        <v>0</v>
      </c>
      <c r="C140">
        <v>0</v>
      </c>
      <c r="D140">
        <v>0</v>
      </c>
      <c r="F140">
        <v>0</v>
      </c>
      <c r="G140">
        <v>0</v>
      </c>
      <c r="H140">
        <v>0</v>
      </c>
      <c r="I140">
        <v>1</v>
      </c>
    </row>
    <row r="141" spans="1:9">
      <c r="A141" t="s">
        <v>159</v>
      </c>
      <c r="B141">
        <v>1371</v>
      </c>
      <c r="C141">
        <v>0</v>
      </c>
      <c r="D141">
        <v>1371</v>
      </c>
      <c r="F141">
        <v>0</v>
      </c>
      <c r="G141">
        <v>0</v>
      </c>
      <c r="H141">
        <v>0</v>
      </c>
      <c r="I141">
        <v>0</v>
      </c>
    </row>
    <row r="142" spans="1:9">
      <c r="A142" t="s">
        <v>160</v>
      </c>
      <c r="B142">
        <v>0</v>
      </c>
      <c r="C142">
        <v>0</v>
      </c>
      <c r="D142">
        <v>0</v>
      </c>
      <c r="F142">
        <v>0</v>
      </c>
      <c r="G142">
        <v>0</v>
      </c>
      <c r="H142">
        <v>1</v>
      </c>
      <c r="I142">
        <v>0</v>
      </c>
    </row>
    <row r="143" spans="1:9">
      <c r="A143" t="s">
        <v>161</v>
      </c>
      <c r="B143">
        <v>1371</v>
      </c>
      <c r="C143">
        <v>300</v>
      </c>
      <c r="D143">
        <v>1671</v>
      </c>
      <c r="F143">
        <v>0</v>
      </c>
      <c r="G143">
        <v>0</v>
      </c>
      <c r="H143">
        <v>0</v>
      </c>
      <c r="I143">
        <v>0</v>
      </c>
    </row>
    <row r="144" spans="1:9">
      <c r="A144" t="s">
        <v>162</v>
      </c>
      <c r="B144">
        <v>1371</v>
      </c>
      <c r="C144">
        <v>0</v>
      </c>
      <c r="D144">
        <v>1371</v>
      </c>
      <c r="F144">
        <v>0</v>
      </c>
      <c r="G144">
        <v>1</v>
      </c>
      <c r="H144">
        <v>0</v>
      </c>
      <c r="I144">
        <v>0</v>
      </c>
    </row>
    <row r="145" spans="1:9">
      <c r="A145" t="s">
        <v>163</v>
      </c>
      <c r="B145">
        <v>0</v>
      </c>
      <c r="C145">
        <v>0</v>
      </c>
      <c r="D145">
        <v>0</v>
      </c>
      <c r="F145">
        <v>0</v>
      </c>
      <c r="G145">
        <v>0</v>
      </c>
      <c r="H145">
        <v>0</v>
      </c>
      <c r="I145">
        <v>1</v>
      </c>
    </row>
    <row r="146" spans="1:9">
      <c r="A146" t="s">
        <v>164</v>
      </c>
      <c r="B146">
        <v>1371</v>
      </c>
      <c r="C146">
        <v>300</v>
      </c>
      <c r="D146">
        <v>1671</v>
      </c>
      <c r="F146">
        <v>0</v>
      </c>
      <c r="G146">
        <v>0</v>
      </c>
      <c r="H146">
        <v>0</v>
      </c>
      <c r="I146">
        <v>0</v>
      </c>
    </row>
    <row r="147" spans="1:9">
      <c r="A147" t="s">
        <v>165</v>
      </c>
      <c r="B147">
        <v>0</v>
      </c>
      <c r="C147">
        <v>0</v>
      </c>
      <c r="D147">
        <v>0</v>
      </c>
      <c r="F147">
        <v>0</v>
      </c>
      <c r="G147">
        <v>0</v>
      </c>
      <c r="H147">
        <v>0</v>
      </c>
      <c r="I147">
        <v>1</v>
      </c>
    </row>
    <row r="148" spans="1:9">
      <c r="A148" t="s">
        <v>166</v>
      </c>
      <c r="B148">
        <v>0</v>
      </c>
      <c r="C148">
        <v>0</v>
      </c>
      <c r="D148">
        <v>0</v>
      </c>
      <c r="F148">
        <v>0</v>
      </c>
      <c r="G148">
        <v>0</v>
      </c>
      <c r="H148">
        <v>1</v>
      </c>
      <c r="I148">
        <v>0</v>
      </c>
    </row>
    <row r="149" spans="1:9">
      <c r="A149" t="s">
        <v>167</v>
      </c>
      <c r="B149">
        <v>2422</v>
      </c>
      <c r="C149">
        <v>300</v>
      </c>
      <c r="D149">
        <v>2722</v>
      </c>
      <c r="F149">
        <v>0</v>
      </c>
      <c r="G149">
        <v>0</v>
      </c>
      <c r="H149">
        <v>0</v>
      </c>
      <c r="I149">
        <v>0</v>
      </c>
    </row>
    <row r="150" spans="1:9">
      <c r="A150" t="s">
        <v>168</v>
      </c>
      <c r="B150">
        <v>0</v>
      </c>
      <c r="C150">
        <v>0</v>
      </c>
      <c r="D150">
        <v>0</v>
      </c>
      <c r="F150">
        <v>0</v>
      </c>
      <c r="G150">
        <v>0</v>
      </c>
      <c r="H150">
        <v>0</v>
      </c>
      <c r="I150">
        <v>1</v>
      </c>
    </row>
    <row r="151" spans="1:9">
      <c r="A151" t="s">
        <v>169</v>
      </c>
      <c r="B151">
        <v>0</v>
      </c>
      <c r="C151">
        <v>0</v>
      </c>
      <c r="D151">
        <v>0</v>
      </c>
      <c r="F151">
        <v>0</v>
      </c>
      <c r="G151">
        <v>0</v>
      </c>
      <c r="H151">
        <v>1</v>
      </c>
      <c r="I151">
        <v>0</v>
      </c>
    </row>
    <row r="152" spans="1:9">
      <c r="A152" t="s">
        <v>170</v>
      </c>
      <c r="B152">
        <v>0</v>
      </c>
      <c r="C152">
        <v>0</v>
      </c>
      <c r="D152">
        <v>0</v>
      </c>
      <c r="F152">
        <v>0</v>
      </c>
      <c r="G152">
        <v>0</v>
      </c>
      <c r="H152">
        <v>0</v>
      </c>
      <c r="I152">
        <v>1</v>
      </c>
    </row>
    <row r="153" spans="1:9">
      <c r="A153" t="s">
        <v>171</v>
      </c>
      <c r="B153">
        <v>0</v>
      </c>
      <c r="C153">
        <v>0</v>
      </c>
      <c r="D153">
        <v>0</v>
      </c>
      <c r="F153">
        <v>0</v>
      </c>
      <c r="G153">
        <v>0</v>
      </c>
      <c r="H153">
        <v>0</v>
      </c>
      <c r="I153">
        <v>1</v>
      </c>
    </row>
    <row r="154" spans="1:9">
      <c r="A154" t="s">
        <v>172</v>
      </c>
      <c r="B154">
        <v>2422</v>
      </c>
      <c r="C154">
        <v>300</v>
      </c>
      <c r="D154">
        <v>2722</v>
      </c>
      <c r="F154">
        <v>0</v>
      </c>
      <c r="G154">
        <v>0</v>
      </c>
      <c r="H154">
        <v>0</v>
      </c>
      <c r="I154">
        <v>0</v>
      </c>
    </row>
    <row r="155" spans="1:9">
      <c r="A155" t="s">
        <v>173</v>
      </c>
      <c r="B155">
        <v>0</v>
      </c>
      <c r="C155">
        <v>0</v>
      </c>
      <c r="D155">
        <v>0</v>
      </c>
      <c r="F155">
        <v>0</v>
      </c>
      <c r="G155">
        <v>0</v>
      </c>
      <c r="H155">
        <v>1</v>
      </c>
      <c r="I155">
        <v>0</v>
      </c>
    </row>
    <row r="156" spans="1:9">
      <c r="A156" t="s">
        <v>174</v>
      </c>
      <c r="B156">
        <v>0</v>
      </c>
      <c r="C156">
        <v>0</v>
      </c>
      <c r="D156">
        <v>0</v>
      </c>
      <c r="F156">
        <v>0</v>
      </c>
      <c r="G156">
        <v>0</v>
      </c>
      <c r="H156">
        <v>0</v>
      </c>
      <c r="I156">
        <v>1</v>
      </c>
    </row>
    <row r="157" spans="1:9">
      <c r="A157" t="s">
        <v>175</v>
      </c>
      <c r="B157">
        <v>0</v>
      </c>
      <c r="C157">
        <v>0</v>
      </c>
      <c r="D157">
        <v>0</v>
      </c>
      <c r="F157">
        <v>0</v>
      </c>
      <c r="G157">
        <v>0</v>
      </c>
      <c r="H157">
        <v>0</v>
      </c>
      <c r="I157">
        <v>1</v>
      </c>
    </row>
    <row r="158" spans="1:9">
      <c r="A158" t="s">
        <v>176</v>
      </c>
      <c r="B158">
        <v>0</v>
      </c>
      <c r="C158">
        <v>0</v>
      </c>
      <c r="D158">
        <v>0</v>
      </c>
      <c r="F158">
        <v>0</v>
      </c>
      <c r="G158">
        <v>0</v>
      </c>
      <c r="H158">
        <v>0</v>
      </c>
      <c r="I158">
        <v>1</v>
      </c>
    </row>
    <row r="159" spans="1:9">
      <c r="A159" t="s">
        <v>177</v>
      </c>
      <c r="B159">
        <v>0</v>
      </c>
      <c r="C159">
        <v>0</v>
      </c>
      <c r="D159">
        <v>0</v>
      </c>
      <c r="F159">
        <v>0</v>
      </c>
      <c r="G159">
        <v>0</v>
      </c>
      <c r="H159">
        <v>0</v>
      </c>
      <c r="I159">
        <v>1</v>
      </c>
    </row>
    <row r="160" spans="1:9">
      <c r="A160" t="s">
        <v>178</v>
      </c>
      <c r="B160">
        <v>0</v>
      </c>
      <c r="C160">
        <v>0</v>
      </c>
      <c r="D160">
        <v>0</v>
      </c>
      <c r="F160">
        <v>0</v>
      </c>
      <c r="G160">
        <v>0</v>
      </c>
      <c r="H160">
        <v>1</v>
      </c>
      <c r="I160">
        <v>0</v>
      </c>
    </row>
    <row r="161" spans="1:9">
      <c r="A161" t="s">
        <v>179</v>
      </c>
      <c r="B161">
        <v>0</v>
      </c>
      <c r="C161">
        <v>0</v>
      </c>
      <c r="D161">
        <v>0</v>
      </c>
      <c r="F161">
        <v>0</v>
      </c>
      <c r="G161">
        <v>0</v>
      </c>
      <c r="H161">
        <v>1</v>
      </c>
      <c r="I161">
        <v>0</v>
      </c>
    </row>
    <row r="162" spans="1:9">
      <c r="A162" t="s">
        <v>180</v>
      </c>
      <c r="B162">
        <v>2422</v>
      </c>
      <c r="C162">
        <v>300</v>
      </c>
      <c r="D162">
        <v>2722</v>
      </c>
      <c r="F162">
        <v>0</v>
      </c>
      <c r="G162">
        <v>1</v>
      </c>
      <c r="H162">
        <v>0</v>
      </c>
      <c r="I162">
        <v>0</v>
      </c>
    </row>
    <row r="163" spans="1:9">
      <c r="A163" t="s">
        <v>181</v>
      </c>
      <c r="B163">
        <v>0</v>
      </c>
      <c r="C163">
        <v>0</v>
      </c>
      <c r="D163">
        <v>0</v>
      </c>
      <c r="F163">
        <v>0</v>
      </c>
      <c r="G163">
        <v>0</v>
      </c>
      <c r="H163">
        <v>0</v>
      </c>
      <c r="I163">
        <v>1</v>
      </c>
    </row>
    <row r="164" spans="1:9">
      <c r="A164" t="s">
        <v>182</v>
      </c>
      <c r="B164">
        <v>0</v>
      </c>
      <c r="C164">
        <v>0</v>
      </c>
      <c r="D164">
        <v>0</v>
      </c>
      <c r="F164">
        <v>0</v>
      </c>
      <c r="G164">
        <v>0</v>
      </c>
      <c r="H164">
        <v>1</v>
      </c>
      <c r="I164">
        <v>0</v>
      </c>
    </row>
    <row r="165" spans="1:9">
      <c r="A165" t="s">
        <v>183</v>
      </c>
      <c r="B165">
        <v>0</v>
      </c>
      <c r="C165">
        <v>0</v>
      </c>
      <c r="D165">
        <v>0</v>
      </c>
      <c r="F165">
        <v>0</v>
      </c>
      <c r="G165">
        <v>0</v>
      </c>
      <c r="H165">
        <v>0</v>
      </c>
      <c r="I165">
        <v>1</v>
      </c>
    </row>
    <row r="166" spans="1:9">
      <c r="A166" t="s">
        <v>184</v>
      </c>
      <c r="B166">
        <v>0</v>
      </c>
      <c r="C166">
        <v>0</v>
      </c>
      <c r="D166">
        <v>0</v>
      </c>
      <c r="F166">
        <v>0</v>
      </c>
      <c r="G166">
        <v>0</v>
      </c>
      <c r="H166">
        <v>0</v>
      </c>
      <c r="I166">
        <v>1</v>
      </c>
    </row>
    <row r="167" spans="1:9">
      <c r="A167" t="s">
        <v>185</v>
      </c>
      <c r="B167">
        <v>0</v>
      </c>
      <c r="C167">
        <v>0</v>
      </c>
      <c r="D167">
        <v>0</v>
      </c>
      <c r="F167">
        <v>0</v>
      </c>
      <c r="G167">
        <v>0</v>
      </c>
      <c r="H167">
        <v>0</v>
      </c>
      <c r="I167">
        <v>1</v>
      </c>
    </row>
    <row r="168" spans="1:9">
      <c r="A168" t="s">
        <v>186</v>
      </c>
      <c r="B168">
        <v>0</v>
      </c>
      <c r="C168">
        <v>0</v>
      </c>
      <c r="D168">
        <v>0</v>
      </c>
      <c r="F168">
        <v>0</v>
      </c>
      <c r="G168">
        <v>0</v>
      </c>
      <c r="H168">
        <v>0</v>
      </c>
      <c r="I168">
        <v>1</v>
      </c>
    </row>
    <row r="169" spans="1:9">
      <c r="A169" t="s">
        <v>187</v>
      </c>
      <c r="B169">
        <v>0</v>
      </c>
      <c r="C169">
        <v>0</v>
      </c>
      <c r="D169">
        <v>0</v>
      </c>
      <c r="F169">
        <v>0</v>
      </c>
      <c r="G169">
        <v>0</v>
      </c>
      <c r="H169">
        <v>0</v>
      </c>
      <c r="I169">
        <v>1</v>
      </c>
    </row>
    <row r="170" spans="1:9">
      <c r="A170" t="s">
        <v>188</v>
      </c>
      <c r="B170">
        <v>0</v>
      </c>
      <c r="C170">
        <v>0</v>
      </c>
      <c r="D170">
        <v>0</v>
      </c>
      <c r="F170">
        <v>0</v>
      </c>
      <c r="G170">
        <v>0</v>
      </c>
      <c r="H170">
        <v>0</v>
      </c>
      <c r="I170">
        <v>1</v>
      </c>
    </row>
    <row r="171" spans="1:9">
      <c r="A171" t="s">
        <v>189</v>
      </c>
      <c r="B171">
        <v>0</v>
      </c>
      <c r="C171">
        <v>0</v>
      </c>
      <c r="D171">
        <v>0</v>
      </c>
      <c r="F171">
        <v>0</v>
      </c>
      <c r="G171">
        <v>0</v>
      </c>
      <c r="H171">
        <v>1</v>
      </c>
      <c r="I171">
        <v>0</v>
      </c>
    </row>
    <row r="172" spans="1:9">
      <c r="A172" t="s">
        <v>190</v>
      </c>
      <c r="B172">
        <v>0</v>
      </c>
      <c r="C172">
        <v>0</v>
      </c>
      <c r="D172">
        <v>0</v>
      </c>
      <c r="F172">
        <v>0</v>
      </c>
      <c r="G172">
        <v>0</v>
      </c>
      <c r="H172">
        <v>0</v>
      </c>
      <c r="I172">
        <v>1</v>
      </c>
    </row>
    <row r="173" spans="1:9">
      <c r="A173" t="s">
        <v>191</v>
      </c>
      <c r="B173">
        <v>0</v>
      </c>
      <c r="C173">
        <v>0</v>
      </c>
      <c r="D173">
        <v>0</v>
      </c>
      <c r="F173">
        <v>0</v>
      </c>
      <c r="G173">
        <v>0</v>
      </c>
      <c r="H173">
        <v>1</v>
      </c>
      <c r="I173">
        <v>0</v>
      </c>
    </row>
    <row r="174" spans="1:9">
      <c r="A174" t="s">
        <v>192</v>
      </c>
      <c r="B174">
        <v>0</v>
      </c>
      <c r="C174">
        <v>0</v>
      </c>
      <c r="D174">
        <v>0</v>
      </c>
      <c r="F174">
        <v>0</v>
      </c>
      <c r="G174">
        <v>0</v>
      </c>
      <c r="H174">
        <v>0</v>
      </c>
      <c r="I174">
        <v>1</v>
      </c>
    </row>
    <row r="175" spans="1:9">
      <c r="A175" t="s">
        <v>193</v>
      </c>
      <c r="B175">
        <v>2506</v>
      </c>
      <c r="C175">
        <v>300</v>
      </c>
      <c r="D175">
        <v>2806</v>
      </c>
      <c r="F175">
        <v>0</v>
      </c>
      <c r="G175">
        <v>1</v>
      </c>
      <c r="H175">
        <v>0</v>
      </c>
      <c r="I175">
        <v>0</v>
      </c>
    </row>
    <row r="176" spans="1:9">
      <c r="A176" t="s">
        <v>194</v>
      </c>
      <c r="B176">
        <v>2506</v>
      </c>
      <c r="C176">
        <v>300</v>
      </c>
      <c r="D176">
        <v>2806</v>
      </c>
      <c r="F176">
        <v>0</v>
      </c>
      <c r="G176">
        <v>1</v>
      </c>
      <c r="H176">
        <v>0</v>
      </c>
      <c r="I176">
        <v>0</v>
      </c>
    </row>
    <row r="177" spans="1:9">
      <c r="A177" t="s">
        <v>195</v>
      </c>
      <c r="B177">
        <v>2506</v>
      </c>
      <c r="C177">
        <v>300</v>
      </c>
      <c r="D177">
        <v>2806</v>
      </c>
      <c r="F177">
        <v>0</v>
      </c>
      <c r="G177">
        <v>0</v>
      </c>
      <c r="H177">
        <v>0</v>
      </c>
      <c r="I177">
        <v>0</v>
      </c>
    </row>
    <row r="178" spans="1:9">
      <c r="A178" t="s">
        <v>196</v>
      </c>
      <c r="B178">
        <v>1371</v>
      </c>
      <c r="C178">
        <v>300</v>
      </c>
      <c r="D178">
        <v>1671</v>
      </c>
      <c r="F178">
        <v>0</v>
      </c>
      <c r="G178">
        <v>0</v>
      </c>
      <c r="H178">
        <v>0</v>
      </c>
      <c r="I178">
        <v>0</v>
      </c>
    </row>
    <row r="179" spans="1:9">
      <c r="A179" t="s">
        <v>197</v>
      </c>
      <c r="B179">
        <v>0</v>
      </c>
      <c r="C179">
        <v>0</v>
      </c>
      <c r="D179">
        <v>0</v>
      </c>
      <c r="F179">
        <v>0</v>
      </c>
      <c r="G179">
        <v>0</v>
      </c>
      <c r="H179">
        <v>0</v>
      </c>
      <c r="I179">
        <v>1</v>
      </c>
    </row>
    <row r="180" spans="1:9">
      <c r="A180" t="s">
        <v>198</v>
      </c>
      <c r="B180">
        <v>1371</v>
      </c>
      <c r="C180">
        <v>300</v>
      </c>
      <c r="D180">
        <v>1671</v>
      </c>
      <c r="F180">
        <v>0</v>
      </c>
      <c r="G180">
        <v>0</v>
      </c>
      <c r="H180">
        <v>0</v>
      </c>
      <c r="I180">
        <v>0</v>
      </c>
    </row>
    <row r="181" spans="1:9">
      <c r="A181" t="s">
        <v>199</v>
      </c>
      <c r="B181">
        <v>1371</v>
      </c>
      <c r="C181">
        <v>0</v>
      </c>
      <c r="D181">
        <v>1371</v>
      </c>
      <c r="F181">
        <v>0</v>
      </c>
      <c r="G181">
        <v>0</v>
      </c>
      <c r="H181">
        <v>0</v>
      </c>
      <c r="I181">
        <v>0</v>
      </c>
    </row>
    <row r="182" spans="1:9">
      <c r="A182" t="s">
        <v>200</v>
      </c>
      <c r="B182">
        <v>0</v>
      </c>
      <c r="C182">
        <v>0</v>
      </c>
      <c r="D182">
        <v>0</v>
      </c>
      <c r="F182">
        <v>0</v>
      </c>
      <c r="G182">
        <v>0</v>
      </c>
      <c r="H182">
        <v>0</v>
      </c>
      <c r="I182">
        <v>1</v>
      </c>
    </row>
    <row r="183" spans="1:9">
      <c r="A183" t="s">
        <v>201</v>
      </c>
      <c r="B183">
        <v>0</v>
      </c>
      <c r="C183">
        <v>0</v>
      </c>
      <c r="D183">
        <v>0</v>
      </c>
      <c r="F183">
        <v>0</v>
      </c>
      <c r="G183">
        <v>0</v>
      </c>
      <c r="H183">
        <v>0</v>
      </c>
      <c r="I183">
        <v>1</v>
      </c>
    </row>
    <row r="184" spans="1:9">
      <c r="A184" t="s">
        <v>202</v>
      </c>
      <c r="B184">
        <v>1371</v>
      </c>
      <c r="C184">
        <v>0</v>
      </c>
      <c r="D184">
        <v>1371</v>
      </c>
      <c r="F184">
        <v>0</v>
      </c>
      <c r="G184">
        <v>0</v>
      </c>
      <c r="H184">
        <v>0</v>
      </c>
      <c r="I184">
        <v>0</v>
      </c>
    </row>
    <row r="185" spans="1:9">
      <c r="A185" t="s">
        <v>203</v>
      </c>
      <c r="B185">
        <v>1371</v>
      </c>
      <c r="C185">
        <v>300</v>
      </c>
      <c r="D185">
        <v>1671</v>
      </c>
      <c r="F185">
        <v>0</v>
      </c>
      <c r="G185">
        <v>0</v>
      </c>
      <c r="H185">
        <v>0</v>
      </c>
      <c r="I185">
        <v>0</v>
      </c>
    </row>
    <row r="186" spans="1:9">
      <c r="A186" t="s">
        <v>204</v>
      </c>
      <c r="B186">
        <v>1371</v>
      </c>
      <c r="C186">
        <v>300</v>
      </c>
      <c r="D186">
        <v>1671</v>
      </c>
      <c r="F186">
        <v>0</v>
      </c>
      <c r="G186">
        <v>0</v>
      </c>
      <c r="H186">
        <v>0</v>
      </c>
      <c r="I186">
        <v>0</v>
      </c>
    </row>
    <row r="187" spans="1:9">
      <c r="A187" t="s">
        <v>205</v>
      </c>
      <c r="B187">
        <v>1371</v>
      </c>
      <c r="C187">
        <v>300</v>
      </c>
      <c r="D187">
        <v>1671</v>
      </c>
      <c r="F187">
        <v>0</v>
      </c>
      <c r="G187">
        <v>1</v>
      </c>
      <c r="H187">
        <v>0</v>
      </c>
      <c r="I187">
        <v>0</v>
      </c>
    </row>
    <row r="188" spans="1:9">
      <c r="A188" t="s">
        <v>206</v>
      </c>
      <c r="B188">
        <v>1371</v>
      </c>
      <c r="C188">
        <v>300</v>
      </c>
      <c r="D188">
        <v>1671</v>
      </c>
      <c r="F188">
        <v>0</v>
      </c>
      <c r="G188">
        <v>0</v>
      </c>
      <c r="H188">
        <v>0</v>
      </c>
      <c r="I188">
        <v>0</v>
      </c>
    </row>
    <row r="189" spans="1:9">
      <c r="A189" t="s">
        <v>207</v>
      </c>
      <c r="B189">
        <v>0</v>
      </c>
      <c r="C189">
        <v>0</v>
      </c>
      <c r="D189">
        <v>0</v>
      </c>
      <c r="F189">
        <v>0</v>
      </c>
      <c r="G189">
        <v>0</v>
      </c>
      <c r="H189">
        <v>0</v>
      </c>
      <c r="I189">
        <v>1</v>
      </c>
    </row>
    <row r="190" spans="1:9">
      <c r="A190" t="s">
        <v>208</v>
      </c>
      <c r="B190">
        <v>0</v>
      </c>
      <c r="C190">
        <v>0</v>
      </c>
      <c r="D190">
        <v>0</v>
      </c>
      <c r="F190">
        <v>0</v>
      </c>
      <c r="G190">
        <v>0</v>
      </c>
      <c r="H190">
        <v>0</v>
      </c>
      <c r="I190">
        <v>1</v>
      </c>
    </row>
    <row r="191" spans="1:9">
      <c r="A191" t="s">
        <v>209</v>
      </c>
      <c r="B191">
        <v>0</v>
      </c>
      <c r="C191">
        <v>0</v>
      </c>
      <c r="D191">
        <v>0</v>
      </c>
      <c r="F191">
        <v>0</v>
      </c>
      <c r="G191">
        <v>0</v>
      </c>
      <c r="H191">
        <v>1</v>
      </c>
      <c r="I191">
        <v>0</v>
      </c>
    </row>
    <row r="192" spans="1:9">
      <c r="A192" t="s">
        <v>210</v>
      </c>
      <c r="B192">
        <v>0</v>
      </c>
      <c r="C192">
        <v>0</v>
      </c>
      <c r="D192">
        <v>0</v>
      </c>
      <c r="F192">
        <v>0</v>
      </c>
      <c r="G192">
        <v>0</v>
      </c>
      <c r="H192">
        <v>0</v>
      </c>
      <c r="I192">
        <v>1</v>
      </c>
    </row>
    <row r="193" spans="1:9">
      <c r="A193" t="s">
        <v>211</v>
      </c>
      <c r="B193">
        <v>2478</v>
      </c>
      <c r="C193">
        <v>300</v>
      </c>
      <c r="D193">
        <v>2778</v>
      </c>
      <c r="F193">
        <v>0</v>
      </c>
      <c r="G193">
        <v>0</v>
      </c>
      <c r="H193">
        <v>0</v>
      </c>
      <c r="I193">
        <v>0</v>
      </c>
    </row>
    <row r="194" spans="1:9">
      <c r="A194" t="s">
        <v>212</v>
      </c>
      <c r="B194">
        <v>0</v>
      </c>
      <c r="C194">
        <v>0</v>
      </c>
      <c r="D194">
        <v>0</v>
      </c>
      <c r="F194">
        <v>0</v>
      </c>
      <c r="G194">
        <v>0</v>
      </c>
      <c r="H194">
        <v>0</v>
      </c>
      <c r="I194">
        <v>1</v>
      </c>
    </row>
    <row r="195" spans="1:9">
      <c r="A195" t="s">
        <v>213</v>
      </c>
      <c r="B195">
        <v>0</v>
      </c>
      <c r="C195">
        <v>0</v>
      </c>
      <c r="D195">
        <v>0</v>
      </c>
      <c r="F195">
        <v>0</v>
      </c>
      <c r="G195">
        <v>0</v>
      </c>
      <c r="H195">
        <v>1</v>
      </c>
      <c r="I195">
        <v>0</v>
      </c>
    </row>
    <row r="196" spans="1:9">
      <c r="A196" t="s">
        <v>214</v>
      </c>
      <c r="B196">
        <v>2478</v>
      </c>
      <c r="C196">
        <v>300</v>
      </c>
      <c r="D196">
        <v>2778</v>
      </c>
      <c r="F196">
        <v>0</v>
      </c>
      <c r="G196">
        <v>0</v>
      </c>
      <c r="H196">
        <v>0</v>
      </c>
      <c r="I196">
        <v>0</v>
      </c>
    </row>
    <row r="197" spans="1:9">
      <c r="A197" t="s">
        <v>215</v>
      </c>
      <c r="B197">
        <v>0</v>
      </c>
      <c r="C197">
        <v>0</v>
      </c>
      <c r="D197">
        <v>0</v>
      </c>
      <c r="F197">
        <v>0</v>
      </c>
      <c r="G197">
        <v>0</v>
      </c>
      <c r="H197">
        <v>0</v>
      </c>
      <c r="I197">
        <v>1</v>
      </c>
    </row>
    <row r="198" spans="1:9">
      <c r="A198" t="s">
        <v>216</v>
      </c>
      <c r="B198">
        <v>0</v>
      </c>
      <c r="C198">
        <v>0</v>
      </c>
      <c r="D198">
        <v>0</v>
      </c>
      <c r="F198">
        <v>0</v>
      </c>
      <c r="G198">
        <v>0</v>
      </c>
      <c r="H198">
        <v>1</v>
      </c>
      <c r="I198">
        <v>0</v>
      </c>
    </row>
    <row r="199" spans="1:9">
      <c r="A199" t="s">
        <v>217</v>
      </c>
      <c r="B199">
        <v>0</v>
      </c>
      <c r="C199">
        <v>0</v>
      </c>
      <c r="D199">
        <v>0</v>
      </c>
      <c r="F199">
        <v>0</v>
      </c>
      <c r="G199">
        <v>0</v>
      </c>
      <c r="H199">
        <v>0</v>
      </c>
      <c r="I199">
        <v>1</v>
      </c>
    </row>
    <row r="200" spans="1:9">
      <c r="A200" t="s">
        <v>218</v>
      </c>
      <c r="B200">
        <v>2478</v>
      </c>
      <c r="C200">
        <v>300</v>
      </c>
      <c r="D200">
        <v>2778</v>
      </c>
      <c r="F200">
        <v>0</v>
      </c>
      <c r="G200">
        <v>0</v>
      </c>
      <c r="H200">
        <v>0</v>
      </c>
      <c r="I200">
        <v>0</v>
      </c>
    </row>
    <row r="201" spans="1:9">
      <c r="A201" t="s">
        <v>219</v>
      </c>
      <c r="B201">
        <v>0</v>
      </c>
      <c r="C201">
        <v>0</v>
      </c>
      <c r="D201">
        <v>0</v>
      </c>
      <c r="F201">
        <v>0</v>
      </c>
      <c r="G201">
        <v>0</v>
      </c>
      <c r="H201">
        <v>0</v>
      </c>
      <c r="I201">
        <v>1</v>
      </c>
    </row>
    <row r="202" spans="1:9">
      <c r="A202" t="s">
        <v>220</v>
      </c>
      <c r="B202">
        <v>2478</v>
      </c>
      <c r="C202">
        <v>300</v>
      </c>
      <c r="D202">
        <v>2778</v>
      </c>
      <c r="F202">
        <v>0</v>
      </c>
      <c r="G202">
        <v>2</v>
      </c>
      <c r="H202">
        <v>0</v>
      </c>
      <c r="I202">
        <v>0</v>
      </c>
    </row>
    <row r="203" spans="1:9">
      <c r="A203" t="s">
        <v>221</v>
      </c>
      <c r="B203">
        <v>0</v>
      </c>
      <c r="C203">
        <v>0</v>
      </c>
      <c r="D203">
        <v>0</v>
      </c>
      <c r="F203">
        <v>0</v>
      </c>
      <c r="G203">
        <v>0</v>
      </c>
      <c r="H203">
        <v>0</v>
      </c>
      <c r="I203">
        <v>1</v>
      </c>
    </row>
    <row r="204" spans="1:9">
      <c r="A204" t="s">
        <v>222</v>
      </c>
      <c r="B204">
        <v>0</v>
      </c>
      <c r="C204">
        <v>0</v>
      </c>
      <c r="D204">
        <v>0</v>
      </c>
      <c r="F204">
        <v>0</v>
      </c>
      <c r="G204">
        <v>0</v>
      </c>
      <c r="H204">
        <v>1</v>
      </c>
      <c r="I204">
        <v>0</v>
      </c>
    </row>
    <row r="205" spans="1:9">
      <c r="A205" t="s">
        <v>223</v>
      </c>
      <c r="B205">
        <v>0</v>
      </c>
      <c r="C205">
        <v>0</v>
      </c>
      <c r="D205">
        <v>0</v>
      </c>
      <c r="F205">
        <v>0</v>
      </c>
      <c r="G205">
        <v>0</v>
      </c>
      <c r="H205">
        <v>0</v>
      </c>
      <c r="I205">
        <v>1</v>
      </c>
    </row>
    <row r="206" spans="1:9">
      <c r="A206" t="s">
        <v>224</v>
      </c>
      <c r="B206">
        <v>2478</v>
      </c>
      <c r="C206">
        <v>300</v>
      </c>
      <c r="D206">
        <v>2778</v>
      </c>
      <c r="F206">
        <v>0</v>
      </c>
      <c r="G206">
        <v>1</v>
      </c>
      <c r="H206">
        <v>0</v>
      </c>
      <c r="I206">
        <v>0</v>
      </c>
    </row>
    <row r="207" spans="1:9">
      <c r="A207" t="s">
        <v>225</v>
      </c>
      <c r="B207">
        <v>0</v>
      </c>
      <c r="C207">
        <v>0</v>
      </c>
      <c r="D207">
        <v>0</v>
      </c>
      <c r="F207">
        <v>0</v>
      </c>
      <c r="G207">
        <v>0</v>
      </c>
      <c r="H207">
        <v>1</v>
      </c>
      <c r="I207">
        <v>0</v>
      </c>
    </row>
    <row r="208" spans="1:9">
      <c r="A208" t="s">
        <v>14</v>
      </c>
      <c r="B208">
        <v>0</v>
      </c>
      <c r="C208">
        <v>0</v>
      </c>
      <c r="D208">
        <v>0</v>
      </c>
      <c r="F208">
        <v>0</v>
      </c>
      <c r="G208">
        <v>0</v>
      </c>
      <c r="H208">
        <v>1</v>
      </c>
      <c r="I208">
        <v>0</v>
      </c>
    </row>
    <row r="209" spans="1:9">
      <c r="A209" t="s">
        <v>226</v>
      </c>
      <c r="B209">
        <v>0</v>
      </c>
      <c r="C209">
        <v>0</v>
      </c>
      <c r="D209">
        <v>0</v>
      </c>
      <c r="F209">
        <v>0</v>
      </c>
      <c r="G209">
        <v>0</v>
      </c>
      <c r="H209">
        <v>1</v>
      </c>
      <c r="I209">
        <v>0</v>
      </c>
    </row>
    <row r="210" spans="1:9">
      <c r="A210" t="s">
        <v>227</v>
      </c>
      <c r="B210">
        <v>2686</v>
      </c>
      <c r="C210">
        <v>300</v>
      </c>
      <c r="D210">
        <v>2986</v>
      </c>
      <c r="F210">
        <v>0</v>
      </c>
      <c r="G210">
        <v>1</v>
      </c>
      <c r="H210">
        <v>0</v>
      </c>
      <c r="I210">
        <v>0</v>
      </c>
    </row>
    <row r="211" spans="1:9">
      <c r="A211" t="s">
        <v>228</v>
      </c>
      <c r="B211">
        <v>0</v>
      </c>
      <c r="C211">
        <v>0</v>
      </c>
      <c r="D211">
        <v>0</v>
      </c>
      <c r="F211">
        <v>0</v>
      </c>
      <c r="G211">
        <v>0</v>
      </c>
      <c r="H211">
        <v>0</v>
      </c>
      <c r="I211">
        <v>1</v>
      </c>
    </row>
    <row r="212" spans="1:9">
      <c r="A212" t="s">
        <v>229</v>
      </c>
      <c r="B212">
        <v>0</v>
      </c>
      <c r="C212">
        <v>0</v>
      </c>
      <c r="D212">
        <v>0</v>
      </c>
      <c r="F212">
        <v>0</v>
      </c>
      <c r="G212">
        <v>0</v>
      </c>
      <c r="H212">
        <v>0</v>
      </c>
      <c r="I212">
        <v>1</v>
      </c>
    </row>
    <row r="213" spans="1:9">
      <c r="A213" t="s">
        <v>230</v>
      </c>
      <c r="B213">
        <v>0</v>
      </c>
      <c r="C213">
        <v>0</v>
      </c>
      <c r="D213">
        <v>0</v>
      </c>
      <c r="F213">
        <v>0</v>
      </c>
      <c r="G213">
        <v>0</v>
      </c>
      <c r="H213">
        <v>0</v>
      </c>
      <c r="I213">
        <v>1</v>
      </c>
    </row>
    <row r="214" spans="1:9">
      <c r="A214" t="s">
        <v>231</v>
      </c>
      <c r="B214">
        <v>0</v>
      </c>
      <c r="C214">
        <v>0</v>
      </c>
      <c r="D214">
        <v>0</v>
      </c>
      <c r="F214">
        <v>0</v>
      </c>
      <c r="G214">
        <v>0</v>
      </c>
      <c r="H214">
        <v>0</v>
      </c>
      <c r="I214">
        <v>1</v>
      </c>
    </row>
    <row r="215" spans="1:9">
      <c r="A215" t="s">
        <v>232</v>
      </c>
      <c r="B215">
        <v>2686</v>
      </c>
      <c r="C215">
        <v>300</v>
      </c>
      <c r="D215">
        <v>2986</v>
      </c>
      <c r="F215">
        <v>0</v>
      </c>
      <c r="G215">
        <v>0</v>
      </c>
      <c r="H215">
        <v>0</v>
      </c>
      <c r="I215">
        <v>0</v>
      </c>
    </row>
    <row r="216" spans="1:9">
      <c r="A216" t="s">
        <v>233</v>
      </c>
      <c r="B216">
        <v>2686</v>
      </c>
      <c r="C216">
        <v>300</v>
      </c>
      <c r="D216">
        <v>2986</v>
      </c>
      <c r="F216">
        <v>0</v>
      </c>
      <c r="G216">
        <v>0</v>
      </c>
      <c r="H216">
        <v>0</v>
      </c>
      <c r="I216">
        <v>0</v>
      </c>
    </row>
    <row r="217" spans="1:9">
      <c r="A217" t="s">
        <v>234</v>
      </c>
      <c r="B217">
        <v>0</v>
      </c>
      <c r="C217">
        <v>0</v>
      </c>
      <c r="D217">
        <v>0</v>
      </c>
      <c r="F217">
        <v>0</v>
      </c>
      <c r="G217">
        <v>0</v>
      </c>
      <c r="H217">
        <v>0</v>
      </c>
      <c r="I217">
        <v>1</v>
      </c>
    </row>
    <row r="218" spans="1:9">
      <c r="A218" t="s">
        <v>235</v>
      </c>
      <c r="B218">
        <v>0</v>
      </c>
      <c r="C218">
        <v>0</v>
      </c>
      <c r="D218">
        <v>0</v>
      </c>
      <c r="F218">
        <v>0</v>
      </c>
      <c r="G218">
        <v>0</v>
      </c>
      <c r="H218">
        <v>1</v>
      </c>
      <c r="I218">
        <v>0</v>
      </c>
    </row>
    <row r="219" spans="1:9">
      <c r="A219" t="s">
        <v>236</v>
      </c>
      <c r="B219">
        <v>2686</v>
      </c>
      <c r="C219">
        <v>300</v>
      </c>
      <c r="D219">
        <v>2986</v>
      </c>
      <c r="F219">
        <v>0</v>
      </c>
      <c r="G219">
        <v>0</v>
      </c>
      <c r="H219">
        <v>0</v>
      </c>
      <c r="I219">
        <v>0</v>
      </c>
    </row>
    <row r="220" spans="1:9">
      <c r="A220" t="s">
        <v>237</v>
      </c>
      <c r="B220">
        <v>0</v>
      </c>
      <c r="C220">
        <v>0</v>
      </c>
      <c r="D220">
        <v>0</v>
      </c>
      <c r="F220">
        <v>0</v>
      </c>
      <c r="G220">
        <v>0</v>
      </c>
      <c r="H220">
        <v>0</v>
      </c>
      <c r="I220">
        <v>1</v>
      </c>
    </row>
    <row r="221" spans="1:9">
      <c r="A221" t="s">
        <v>8</v>
      </c>
      <c r="B221">
        <v>0</v>
      </c>
      <c r="C221">
        <v>0</v>
      </c>
      <c r="D221">
        <v>0</v>
      </c>
      <c r="F221">
        <v>0</v>
      </c>
      <c r="G221">
        <v>0</v>
      </c>
      <c r="H221">
        <v>0</v>
      </c>
      <c r="I221">
        <v>1</v>
      </c>
    </row>
    <row r="222" spans="1:9">
      <c r="A222" t="s">
        <v>238</v>
      </c>
      <c r="B222">
        <v>0</v>
      </c>
      <c r="C222">
        <v>0</v>
      </c>
      <c r="D222">
        <v>0</v>
      </c>
      <c r="F222">
        <v>0</v>
      </c>
      <c r="G222">
        <v>0</v>
      </c>
      <c r="H222">
        <v>1</v>
      </c>
      <c r="I222">
        <v>0</v>
      </c>
    </row>
    <row r="223" spans="1:9">
      <c r="A223" t="s">
        <v>239</v>
      </c>
      <c r="B223">
        <v>0</v>
      </c>
      <c r="C223">
        <v>0</v>
      </c>
      <c r="D223">
        <v>0</v>
      </c>
      <c r="F223">
        <v>0</v>
      </c>
      <c r="G223">
        <v>0</v>
      </c>
      <c r="H223">
        <v>1</v>
      </c>
      <c r="I223">
        <v>0</v>
      </c>
    </row>
    <row r="224" spans="1:9">
      <c r="A224" t="s">
        <v>240</v>
      </c>
      <c r="B224">
        <v>0</v>
      </c>
      <c r="C224">
        <v>0</v>
      </c>
      <c r="D224">
        <v>0</v>
      </c>
      <c r="F224">
        <v>0</v>
      </c>
      <c r="G224">
        <v>0</v>
      </c>
      <c r="H224">
        <v>1</v>
      </c>
      <c r="I224">
        <v>0</v>
      </c>
    </row>
    <row r="225" spans="1:9">
      <c r="A225" t="s">
        <v>241</v>
      </c>
      <c r="B225">
        <v>0</v>
      </c>
      <c r="C225">
        <v>0</v>
      </c>
      <c r="D225">
        <v>0</v>
      </c>
      <c r="F225">
        <v>0</v>
      </c>
      <c r="G225">
        <v>0</v>
      </c>
      <c r="H225">
        <v>1</v>
      </c>
      <c r="I225">
        <v>0</v>
      </c>
    </row>
    <row r="226" spans="1:9">
      <c r="A226" t="s">
        <v>242</v>
      </c>
      <c r="B226">
        <v>0</v>
      </c>
      <c r="C226">
        <v>0</v>
      </c>
      <c r="D226">
        <v>0</v>
      </c>
      <c r="F226">
        <v>0</v>
      </c>
      <c r="G226">
        <v>0</v>
      </c>
      <c r="H226">
        <v>1</v>
      </c>
      <c r="I226">
        <v>0</v>
      </c>
    </row>
    <row r="227" spans="1:9">
      <c r="A227" t="s">
        <v>243</v>
      </c>
      <c r="B227">
        <v>0</v>
      </c>
      <c r="C227">
        <v>0</v>
      </c>
      <c r="D227">
        <v>0</v>
      </c>
      <c r="F227">
        <v>0</v>
      </c>
      <c r="G227">
        <v>0</v>
      </c>
      <c r="H227">
        <v>1</v>
      </c>
      <c r="I227">
        <v>0</v>
      </c>
    </row>
    <row r="228" spans="1:9">
      <c r="A228" t="s">
        <v>244</v>
      </c>
      <c r="B228">
        <v>2659</v>
      </c>
      <c r="C228">
        <v>300</v>
      </c>
      <c r="D228">
        <v>2959</v>
      </c>
      <c r="F228">
        <v>0</v>
      </c>
      <c r="G228">
        <v>1</v>
      </c>
      <c r="H228">
        <v>0</v>
      </c>
      <c r="I228">
        <v>0</v>
      </c>
    </row>
    <row r="229" spans="1:9">
      <c r="A229" t="s">
        <v>245</v>
      </c>
      <c r="B229">
        <v>2659</v>
      </c>
      <c r="C229">
        <v>300</v>
      </c>
      <c r="D229">
        <v>2959</v>
      </c>
      <c r="F229">
        <v>0</v>
      </c>
      <c r="G229">
        <v>0</v>
      </c>
      <c r="H229">
        <v>0</v>
      </c>
      <c r="I229">
        <v>0</v>
      </c>
    </row>
    <row r="230" spans="1:9">
      <c r="A230" t="s">
        <v>246</v>
      </c>
      <c r="B230">
        <v>2659</v>
      </c>
      <c r="C230">
        <v>300</v>
      </c>
      <c r="D230">
        <v>2959</v>
      </c>
      <c r="F230">
        <v>0</v>
      </c>
      <c r="G230">
        <v>0</v>
      </c>
      <c r="H230">
        <v>0</v>
      </c>
      <c r="I230">
        <v>0</v>
      </c>
    </row>
    <row r="231" spans="1:9">
      <c r="A231" t="s">
        <v>247</v>
      </c>
      <c r="B231">
        <v>2659</v>
      </c>
      <c r="C231">
        <v>300</v>
      </c>
      <c r="D231">
        <v>2959</v>
      </c>
      <c r="F231">
        <v>0</v>
      </c>
      <c r="G231">
        <v>1</v>
      </c>
      <c r="H231">
        <v>0</v>
      </c>
      <c r="I231">
        <v>0</v>
      </c>
    </row>
    <row r="232" spans="1:9">
      <c r="A232" t="s">
        <v>248</v>
      </c>
      <c r="B232">
        <v>2659</v>
      </c>
      <c r="C232">
        <v>300</v>
      </c>
      <c r="D232">
        <v>2959</v>
      </c>
      <c r="F232">
        <v>0</v>
      </c>
      <c r="G232">
        <v>0</v>
      </c>
      <c r="H232">
        <v>0</v>
      </c>
      <c r="I232">
        <v>0</v>
      </c>
    </row>
    <row r="233" spans="1:9">
      <c r="A233" t="s">
        <v>249</v>
      </c>
      <c r="B233">
        <v>2754</v>
      </c>
      <c r="C233">
        <v>300</v>
      </c>
      <c r="D233">
        <v>3054</v>
      </c>
      <c r="F233">
        <v>0</v>
      </c>
      <c r="G233">
        <v>0</v>
      </c>
      <c r="H233">
        <v>0</v>
      </c>
      <c r="I233">
        <v>0</v>
      </c>
    </row>
    <row r="234" spans="1:9">
      <c r="A234" t="s">
        <v>250</v>
      </c>
      <c r="B234">
        <v>0</v>
      </c>
      <c r="C234">
        <v>0</v>
      </c>
      <c r="D234">
        <v>0</v>
      </c>
      <c r="F234">
        <v>0</v>
      </c>
      <c r="G234">
        <v>0</v>
      </c>
      <c r="H234">
        <v>1</v>
      </c>
      <c r="I234">
        <v>0</v>
      </c>
    </row>
    <row r="235" spans="1:9">
      <c r="A235" t="s">
        <v>251</v>
      </c>
      <c r="B235">
        <v>0</v>
      </c>
      <c r="C235">
        <v>0</v>
      </c>
      <c r="D235">
        <v>0</v>
      </c>
      <c r="F235">
        <v>0</v>
      </c>
      <c r="G235">
        <v>0</v>
      </c>
      <c r="H235">
        <v>1</v>
      </c>
      <c r="I235">
        <v>0</v>
      </c>
    </row>
    <row r="236" spans="1:9">
      <c r="A236" t="s">
        <v>252</v>
      </c>
      <c r="B236">
        <v>2754</v>
      </c>
      <c r="C236">
        <v>300</v>
      </c>
      <c r="D236">
        <v>3054</v>
      </c>
      <c r="F236">
        <v>0</v>
      </c>
      <c r="G236">
        <v>0</v>
      </c>
      <c r="H236">
        <v>0</v>
      </c>
      <c r="I236">
        <v>0</v>
      </c>
    </row>
    <row r="237" spans="1:9">
      <c r="A237" t="s">
        <v>253</v>
      </c>
      <c r="B237">
        <v>0</v>
      </c>
      <c r="C237">
        <v>0</v>
      </c>
      <c r="D237">
        <v>0</v>
      </c>
      <c r="F237">
        <v>0</v>
      </c>
      <c r="G237">
        <v>0</v>
      </c>
      <c r="H237">
        <v>0</v>
      </c>
      <c r="I237">
        <v>1</v>
      </c>
    </row>
    <row r="238" spans="1:9">
      <c r="A238" t="s">
        <v>254</v>
      </c>
      <c r="B238">
        <v>0</v>
      </c>
      <c r="C238">
        <v>0</v>
      </c>
      <c r="D238">
        <v>0</v>
      </c>
      <c r="F238">
        <v>0</v>
      </c>
      <c r="G238">
        <v>0</v>
      </c>
      <c r="H238">
        <v>0</v>
      </c>
      <c r="I238">
        <v>1</v>
      </c>
    </row>
    <row r="239" spans="1:9">
      <c r="A239" t="s">
        <v>255</v>
      </c>
      <c r="B239">
        <v>2754</v>
      </c>
      <c r="C239">
        <v>300</v>
      </c>
      <c r="D239">
        <v>3054</v>
      </c>
      <c r="F239">
        <v>0</v>
      </c>
      <c r="G239">
        <v>0</v>
      </c>
      <c r="H239">
        <v>0</v>
      </c>
      <c r="I239">
        <v>0</v>
      </c>
    </row>
    <row r="240" spans="1:9">
      <c r="A240" t="s">
        <v>256</v>
      </c>
      <c r="B240">
        <v>2754</v>
      </c>
      <c r="C240">
        <v>300</v>
      </c>
      <c r="D240">
        <v>3054</v>
      </c>
      <c r="F240">
        <v>0</v>
      </c>
      <c r="G240">
        <v>0</v>
      </c>
      <c r="H240">
        <v>0</v>
      </c>
      <c r="I240">
        <v>0</v>
      </c>
    </row>
    <row r="241" spans="1:9">
      <c r="A241" t="s">
        <v>257</v>
      </c>
      <c r="B241">
        <v>0</v>
      </c>
      <c r="C241">
        <v>0</v>
      </c>
      <c r="D241">
        <v>0</v>
      </c>
      <c r="F241">
        <v>0</v>
      </c>
      <c r="G241">
        <v>0</v>
      </c>
      <c r="H241">
        <v>0</v>
      </c>
      <c r="I241">
        <v>1</v>
      </c>
    </row>
    <row r="242" spans="1:9">
      <c r="A242" t="s">
        <v>258</v>
      </c>
      <c r="B242">
        <v>0</v>
      </c>
      <c r="C242">
        <v>0</v>
      </c>
      <c r="D242">
        <v>0</v>
      </c>
      <c r="F242">
        <v>0</v>
      </c>
      <c r="G242">
        <v>0</v>
      </c>
      <c r="H242">
        <v>1</v>
      </c>
      <c r="I242">
        <v>0</v>
      </c>
    </row>
    <row r="243" spans="1:9">
      <c r="A243" t="s">
        <v>259</v>
      </c>
      <c r="B243">
        <v>2754</v>
      </c>
      <c r="C243">
        <v>300</v>
      </c>
      <c r="D243">
        <v>3054</v>
      </c>
      <c r="F243">
        <v>0</v>
      </c>
      <c r="G243">
        <v>1</v>
      </c>
      <c r="H243">
        <v>0</v>
      </c>
      <c r="I243">
        <v>0</v>
      </c>
    </row>
    <row r="244" spans="1:9">
      <c r="A244" t="s">
        <v>260</v>
      </c>
      <c r="B244">
        <v>0</v>
      </c>
      <c r="C244">
        <v>0</v>
      </c>
      <c r="D244">
        <v>0</v>
      </c>
      <c r="F244">
        <v>0</v>
      </c>
      <c r="G244">
        <v>0</v>
      </c>
      <c r="H244">
        <v>1</v>
      </c>
      <c r="I244">
        <v>0</v>
      </c>
    </row>
    <row r="245" spans="1:9">
      <c r="A245" t="s">
        <v>261</v>
      </c>
      <c r="B245">
        <v>0</v>
      </c>
      <c r="C245">
        <v>0</v>
      </c>
      <c r="D245">
        <v>0</v>
      </c>
      <c r="F245">
        <v>0</v>
      </c>
      <c r="G245">
        <v>0</v>
      </c>
      <c r="H245">
        <v>0</v>
      </c>
      <c r="I245">
        <v>1</v>
      </c>
    </row>
    <row r="246" spans="1:9">
      <c r="A246" t="s">
        <v>262</v>
      </c>
      <c r="B246">
        <v>2754</v>
      </c>
      <c r="C246">
        <v>300</v>
      </c>
      <c r="D246">
        <v>3054</v>
      </c>
      <c r="F246">
        <v>0</v>
      </c>
      <c r="G246">
        <v>0</v>
      </c>
      <c r="H246">
        <v>0</v>
      </c>
      <c r="I246">
        <v>0</v>
      </c>
    </row>
    <row r="247" spans="1:9">
      <c r="A247" t="s">
        <v>263</v>
      </c>
      <c r="B247">
        <v>0</v>
      </c>
      <c r="C247">
        <v>0</v>
      </c>
      <c r="D247">
        <v>0</v>
      </c>
      <c r="F247">
        <v>0</v>
      </c>
      <c r="G247">
        <v>0</v>
      </c>
      <c r="H247">
        <v>0</v>
      </c>
      <c r="I247">
        <v>1</v>
      </c>
    </row>
    <row r="248" spans="1:9">
      <c r="A248" t="s">
        <v>264</v>
      </c>
      <c r="B248">
        <v>0</v>
      </c>
      <c r="C248">
        <v>0</v>
      </c>
      <c r="D248">
        <v>0</v>
      </c>
      <c r="F248">
        <v>0</v>
      </c>
      <c r="G248">
        <v>0</v>
      </c>
      <c r="H248">
        <v>1</v>
      </c>
      <c r="I248">
        <v>0</v>
      </c>
    </row>
    <row r="249" spans="1:9">
      <c r="A249" t="s">
        <v>265</v>
      </c>
      <c r="B249">
        <v>0</v>
      </c>
      <c r="C249">
        <v>0</v>
      </c>
      <c r="D249">
        <v>0</v>
      </c>
      <c r="F249">
        <v>0</v>
      </c>
      <c r="G249">
        <v>0</v>
      </c>
      <c r="H249">
        <v>1</v>
      </c>
      <c r="I249">
        <v>0</v>
      </c>
    </row>
    <row r="250" spans="1:9">
      <c r="A250" t="s">
        <v>266</v>
      </c>
      <c r="B250">
        <v>0</v>
      </c>
      <c r="C250">
        <v>0</v>
      </c>
      <c r="D250">
        <v>0</v>
      </c>
      <c r="F250">
        <v>0</v>
      </c>
      <c r="G250">
        <v>0</v>
      </c>
      <c r="H250">
        <v>1</v>
      </c>
      <c r="I250">
        <v>0</v>
      </c>
    </row>
    <row r="251" spans="1:9">
      <c r="A251" t="s">
        <v>267</v>
      </c>
      <c r="B251">
        <v>2776</v>
      </c>
      <c r="C251">
        <v>300</v>
      </c>
      <c r="D251">
        <v>3076</v>
      </c>
      <c r="F251">
        <v>0</v>
      </c>
      <c r="G251">
        <v>2</v>
      </c>
      <c r="H251">
        <v>0</v>
      </c>
      <c r="I251">
        <v>0</v>
      </c>
    </row>
    <row r="252" spans="1:9">
      <c r="A252" t="s">
        <v>268</v>
      </c>
      <c r="B252">
        <v>0</v>
      </c>
      <c r="C252">
        <v>0</v>
      </c>
      <c r="D252">
        <v>0</v>
      </c>
      <c r="F252">
        <v>0</v>
      </c>
      <c r="G252">
        <v>0</v>
      </c>
      <c r="H252">
        <v>1</v>
      </c>
      <c r="I252">
        <v>0</v>
      </c>
    </row>
    <row r="253" spans="1:9">
      <c r="A253" t="s">
        <v>269</v>
      </c>
      <c r="B253">
        <v>2776</v>
      </c>
      <c r="C253">
        <v>300</v>
      </c>
      <c r="D253">
        <v>3076</v>
      </c>
      <c r="F253">
        <v>0</v>
      </c>
      <c r="G253">
        <v>2</v>
      </c>
      <c r="H253">
        <v>0</v>
      </c>
      <c r="I253">
        <v>0</v>
      </c>
    </row>
    <row r="254" spans="1:9">
      <c r="A254" t="s">
        <v>270</v>
      </c>
      <c r="B254">
        <v>0</v>
      </c>
      <c r="C254">
        <v>0</v>
      </c>
      <c r="D254">
        <v>0</v>
      </c>
      <c r="F254">
        <v>0</v>
      </c>
      <c r="G254">
        <v>0</v>
      </c>
      <c r="H254">
        <v>0</v>
      </c>
      <c r="I254">
        <v>1</v>
      </c>
    </row>
    <row r="255" spans="1:9">
      <c r="A255" t="s">
        <v>271</v>
      </c>
      <c r="B255">
        <v>0</v>
      </c>
      <c r="C255">
        <v>0</v>
      </c>
      <c r="D255">
        <v>0</v>
      </c>
      <c r="F255">
        <v>0</v>
      </c>
      <c r="G255">
        <v>0</v>
      </c>
      <c r="H255">
        <v>1</v>
      </c>
      <c r="I255">
        <v>0</v>
      </c>
    </row>
    <row r="256" spans="1:9">
      <c r="A256" t="s">
        <v>272</v>
      </c>
      <c r="B256">
        <v>0</v>
      </c>
      <c r="C256">
        <v>0</v>
      </c>
      <c r="D256">
        <v>0</v>
      </c>
      <c r="F256">
        <v>0</v>
      </c>
      <c r="G256">
        <v>0</v>
      </c>
      <c r="H256">
        <v>0</v>
      </c>
      <c r="I256">
        <v>1</v>
      </c>
    </row>
    <row r="257" spans="1:9">
      <c r="A257" t="s">
        <v>273</v>
      </c>
      <c r="B257">
        <v>0</v>
      </c>
      <c r="C257">
        <v>0</v>
      </c>
      <c r="D257">
        <v>0</v>
      </c>
      <c r="F257">
        <v>0</v>
      </c>
      <c r="G257">
        <v>0</v>
      </c>
      <c r="H257">
        <v>1</v>
      </c>
      <c r="I257">
        <v>0</v>
      </c>
    </row>
    <row r="258" spans="1:9">
      <c r="A258" t="s">
        <v>274</v>
      </c>
      <c r="B258">
        <v>0</v>
      </c>
      <c r="C258">
        <v>0</v>
      </c>
      <c r="D258">
        <v>0</v>
      </c>
      <c r="F258">
        <v>0</v>
      </c>
      <c r="G258">
        <v>0</v>
      </c>
      <c r="H258">
        <v>0</v>
      </c>
      <c r="I258">
        <v>1</v>
      </c>
    </row>
    <row r="259" spans="1:9">
      <c r="A259" t="s">
        <v>275</v>
      </c>
      <c r="B259">
        <v>2776</v>
      </c>
      <c r="C259">
        <v>300</v>
      </c>
      <c r="D259">
        <v>3076</v>
      </c>
      <c r="F259">
        <v>0</v>
      </c>
      <c r="G259">
        <v>0</v>
      </c>
      <c r="H259">
        <v>0</v>
      </c>
      <c r="I259">
        <v>0</v>
      </c>
    </row>
    <row r="260" spans="1:9">
      <c r="A260" t="s">
        <v>276</v>
      </c>
      <c r="B260">
        <v>0</v>
      </c>
      <c r="C260">
        <v>0</v>
      </c>
      <c r="D260">
        <v>0</v>
      </c>
      <c r="F260">
        <v>0</v>
      </c>
      <c r="G260">
        <v>0</v>
      </c>
      <c r="H260">
        <v>0</v>
      </c>
      <c r="I260">
        <v>1</v>
      </c>
    </row>
    <row r="261" spans="1:9">
      <c r="A261" t="s">
        <v>277</v>
      </c>
      <c r="B261">
        <v>0</v>
      </c>
      <c r="C261">
        <v>0</v>
      </c>
      <c r="D261">
        <v>0</v>
      </c>
      <c r="F261">
        <v>0</v>
      </c>
      <c r="G261">
        <v>0</v>
      </c>
      <c r="H261">
        <v>0</v>
      </c>
      <c r="I261">
        <v>1</v>
      </c>
    </row>
    <row r="262" spans="1:9">
      <c r="A262" t="s">
        <v>278</v>
      </c>
      <c r="B262">
        <v>1783</v>
      </c>
      <c r="C262">
        <v>300</v>
      </c>
      <c r="D262">
        <v>2083</v>
      </c>
      <c r="F262">
        <v>0</v>
      </c>
      <c r="G262">
        <v>0</v>
      </c>
      <c r="H262">
        <v>0</v>
      </c>
      <c r="I262">
        <v>0</v>
      </c>
    </row>
    <row r="263" spans="1:9">
      <c r="A263" t="s">
        <v>279</v>
      </c>
      <c r="B263">
        <v>1783</v>
      </c>
      <c r="C263">
        <v>300</v>
      </c>
      <c r="D263">
        <v>2083</v>
      </c>
      <c r="F263">
        <v>0</v>
      </c>
      <c r="G263">
        <v>1</v>
      </c>
      <c r="H263">
        <v>0</v>
      </c>
      <c r="I263">
        <v>0</v>
      </c>
    </row>
    <row r="264" spans="1:9">
      <c r="A264" t="s">
        <v>280</v>
      </c>
      <c r="B264">
        <v>1783</v>
      </c>
      <c r="C264">
        <v>0</v>
      </c>
      <c r="D264">
        <v>1783</v>
      </c>
      <c r="F264">
        <v>0</v>
      </c>
      <c r="G264">
        <v>0</v>
      </c>
      <c r="H264">
        <v>0</v>
      </c>
      <c r="I264">
        <v>0</v>
      </c>
    </row>
    <row r="265" spans="1:9">
      <c r="A265" t="s">
        <v>281</v>
      </c>
      <c r="B265">
        <v>1783</v>
      </c>
      <c r="C265">
        <v>300</v>
      </c>
      <c r="D265">
        <v>2083</v>
      </c>
      <c r="F265">
        <v>0</v>
      </c>
      <c r="G265">
        <v>0</v>
      </c>
      <c r="H265">
        <v>0</v>
      </c>
      <c r="I265">
        <v>0</v>
      </c>
    </row>
    <row r="266" spans="1:9">
      <c r="A266" t="s">
        <v>282</v>
      </c>
      <c r="B266">
        <v>1783</v>
      </c>
      <c r="C266">
        <v>300</v>
      </c>
      <c r="D266">
        <v>2083</v>
      </c>
      <c r="F266">
        <v>0</v>
      </c>
      <c r="G266">
        <v>1</v>
      </c>
      <c r="H266">
        <v>0</v>
      </c>
      <c r="I266">
        <v>0</v>
      </c>
    </row>
    <row r="267" spans="1:9">
      <c r="A267" t="s">
        <v>283</v>
      </c>
      <c r="B267">
        <v>1783</v>
      </c>
      <c r="C267">
        <v>300</v>
      </c>
      <c r="D267">
        <v>2083</v>
      </c>
      <c r="F267">
        <v>0</v>
      </c>
      <c r="G267">
        <v>0</v>
      </c>
      <c r="H267">
        <v>0</v>
      </c>
      <c r="I267">
        <v>0</v>
      </c>
    </row>
    <row r="268" spans="1:9">
      <c r="A268" t="s">
        <v>284</v>
      </c>
      <c r="B268">
        <v>1783</v>
      </c>
      <c r="C268">
        <v>300</v>
      </c>
      <c r="D268">
        <v>2083</v>
      </c>
      <c r="F268">
        <v>0</v>
      </c>
      <c r="G268">
        <v>0</v>
      </c>
      <c r="H268">
        <v>0</v>
      </c>
      <c r="I268">
        <v>0</v>
      </c>
    </row>
    <row r="269" spans="1:9">
      <c r="A269" t="s">
        <v>285</v>
      </c>
      <c r="B269">
        <v>1783</v>
      </c>
      <c r="C269">
        <v>300</v>
      </c>
      <c r="D269">
        <v>2083</v>
      </c>
      <c r="F269">
        <v>0</v>
      </c>
      <c r="G269">
        <v>0</v>
      </c>
      <c r="H269">
        <v>0</v>
      </c>
      <c r="I269">
        <v>0</v>
      </c>
    </row>
    <row r="270" spans="1:9">
      <c r="A270" t="s">
        <v>286</v>
      </c>
      <c r="B270">
        <v>1783</v>
      </c>
      <c r="C270">
        <v>300</v>
      </c>
      <c r="D270">
        <v>2083</v>
      </c>
      <c r="F270">
        <v>0</v>
      </c>
      <c r="G270">
        <v>0</v>
      </c>
      <c r="H270">
        <v>0</v>
      </c>
      <c r="I270">
        <v>0</v>
      </c>
    </row>
    <row r="271" spans="1:9">
      <c r="A271" t="s">
        <v>287</v>
      </c>
      <c r="B271">
        <v>0</v>
      </c>
      <c r="C271">
        <v>0</v>
      </c>
      <c r="D271">
        <v>0</v>
      </c>
      <c r="F271">
        <v>0</v>
      </c>
      <c r="G271">
        <v>0</v>
      </c>
      <c r="H271">
        <v>1</v>
      </c>
      <c r="I271">
        <v>0</v>
      </c>
    </row>
    <row r="272" spans="1:9">
      <c r="A272" t="s">
        <v>288</v>
      </c>
      <c r="B272">
        <v>1783</v>
      </c>
      <c r="C272">
        <v>300</v>
      </c>
      <c r="D272">
        <v>2083</v>
      </c>
      <c r="F272">
        <v>0</v>
      </c>
      <c r="G272">
        <v>0</v>
      </c>
      <c r="H272">
        <v>0</v>
      </c>
      <c r="I272">
        <v>0</v>
      </c>
    </row>
    <row r="273" spans="1:9">
      <c r="A273" t="s">
        <v>289</v>
      </c>
      <c r="B273">
        <v>0</v>
      </c>
      <c r="C273">
        <v>0</v>
      </c>
      <c r="D273">
        <v>0</v>
      </c>
      <c r="F273">
        <v>0</v>
      </c>
      <c r="G273">
        <v>0</v>
      </c>
      <c r="H273">
        <v>0</v>
      </c>
      <c r="I273">
        <v>1</v>
      </c>
    </row>
    <row r="274" spans="1:9">
      <c r="A274" t="s">
        <v>290</v>
      </c>
      <c r="B274">
        <v>1783</v>
      </c>
      <c r="C274">
        <v>300</v>
      </c>
      <c r="D274">
        <v>2083</v>
      </c>
      <c r="F274">
        <v>0</v>
      </c>
      <c r="G274">
        <v>1</v>
      </c>
      <c r="H274">
        <v>0</v>
      </c>
      <c r="I274">
        <v>0</v>
      </c>
    </row>
    <row r="275" spans="1:9">
      <c r="A275" t="s">
        <v>291</v>
      </c>
      <c r="B275">
        <v>1756</v>
      </c>
      <c r="C275">
        <v>300</v>
      </c>
      <c r="D275">
        <v>2056</v>
      </c>
      <c r="F275">
        <v>0</v>
      </c>
      <c r="G275">
        <v>0</v>
      </c>
      <c r="H275">
        <v>0</v>
      </c>
      <c r="I275">
        <v>0</v>
      </c>
    </row>
    <row r="276" spans="1:9">
      <c r="A276" t="s">
        <v>292</v>
      </c>
      <c r="B276">
        <v>0</v>
      </c>
      <c r="C276">
        <v>0</v>
      </c>
      <c r="D276">
        <v>0</v>
      </c>
      <c r="F276">
        <v>0</v>
      </c>
      <c r="G276">
        <v>0</v>
      </c>
      <c r="H276">
        <v>0</v>
      </c>
      <c r="I276">
        <v>1</v>
      </c>
    </row>
    <row r="277" spans="1:9">
      <c r="A277" t="s">
        <v>293</v>
      </c>
      <c r="B277">
        <v>1756</v>
      </c>
      <c r="C277">
        <v>300</v>
      </c>
      <c r="D277">
        <v>2056</v>
      </c>
      <c r="F277">
        <v>0</v>
      </c>
      <c r="G277">
        <v>0</v>
      </c>
      <c r="H277">
        <v>0</v>
      </c>
      <c r="I277">
        <v>0</v>
      </c>
    </row>
    <row r="278" spans="1:9">
      <c r="A278" t="s">
        <v>294</v>
      </c>
      <c r="B278">
        <v>1756</v>
      </c>
      <c r="C278">
        <v>0</v>
      </c>
      <c r="D278">
        <v>1756</v>
      </c>
      <c r="F278">
        <v>0</v>
      </c>
      <c r="G278">
        <v>2</v>
      </c>
      <c r="H278">
        <v>0</v>
      </c>
      <c r="I278">
        <v>0</v>
      </c>
    </row>
    <row r="279" spans="1:9">
      <c r="A279" t="s">
        <v>295</v>
      </c>
      <c r="B279">
        <v>0</v>
      </c>
      <c r="C279">
        <v>0</v>
      </c>
      <c r="D279">
        <v>0</v>
      </c>
      <c r="F279">
        <v>0</v>
      </c>
      <c r="G279">
        <v>0</v>
      </c>
      <c r="H279">
        <v>0</v>
      </c>
      <c r="I279">
        <v>1</v>
      </c>
    </row>
    <row r="280" spans="1:9">
      <c r="A280" t="s">
        <v>296</v>
      </c>
      <c r="B280">
        <v>0</v>
      </c>
      <c r="C280">
        <v>0</v>
      </c>
      <c r="D280">
        <v>0</v>
      </c>
      <c r="F280">
        <v>0</v>
      </c>
      <c r="G280">
        <v>0</v>
      </c>
      <c r="H280">
        <v>1</v>
      </c>
      <c r="I280">
        <v>0</v>
      </c>
    </row>
    <row r="281" spans="1:9">
      <c r="A281" t="s">
        <v>297</v>
      </c>
      <c r="B281">
        <v>0</v>
      </c>
      <c r="C281">
        <v>0</v>
      </c>
      <c r="D281">
        <v>0</v>
      </c>
      <c r="F281">
        <v>0</v>
      </c>
      <c r="G281">
        <v>0</v>
      </c>
      <c r="H281">
        <v>0</v>
      </c>
      <c r="I281">
        <v>1</v>
      </c>
    </row>
    <row r="282" spans="1:9">
      <c r="A282" t="s">
        <v>298</v>
      </c>
      <c r="B282">
        <v>1756</v>
      </c>
      <c r="C282">
        <v>300</v>
      </c>
      <c r="D282">
        <v>2056</v>
      </c>
      <c r="F282">
        <v>0</v>
      </c>
      <c r="G282">
        <v>0</v>
      </c>
      <c r="H282">
        <v>0</v>
      </c>
      <c r="I282">
        <v>0</v>
      </c>
    </row>
    <row r="283" spans="1:9">
      <c r="A283" t="s">
        <v>299</v>
      </c>
      <c r="B283">
        <v>0</v>
      </c>
      <c r="C283">
        <v>0</v>
      </c>
      <c r="D283">
        <v>0</v>
      </c>
      <c r="F283">
        <v>0</v>
      </c>
      <c r="G283">
        <v>0</v>
      </c>
      <c r="H283">
        <v>1</v>
      </c>
      <c r="I283">
        <v>0</v>
      </c>
    </row>
    <row r="284" spans="1:9">
      <c r="A284" t="s">
        <v>300</v>
      </c>
      <c r="B284">
        <v>0</v>
      </c>
      <c r="C284">
        <v>0</v>
      </c>
      <c r="D284">
        <v>0</v>
      </c>
      <c r="F284">
        <v>0</v>
      </c>
      <c r="G284">
        <v>0</v>
      </c>
      <c r="H284">
        <v>1</v>
      </c>
      <c r="I284">
        <v>0</v>
      </c>
    </row>
    <row r="285" spans="1:9">
      <c r="A285" t="s">
        <v>301</v>
      </c>
      <c r="B285">
        <v>0</v>
      </c>
      <c r="C285">
        <v>0</v>
      </c>
      <c r="D285">
        <v>0</v>
      </c>
      <c r="F285">
        <v>0</v>
      </c>
      <c r="G285">
        <v>0</v>
      </c>
      <c r="H285">
        <v>0</v>
      </c>
      <c r="I285">
        <v>1</v>
      </c>
    </row>
    <row r="286" spans="1:9">
      <c r="A286" t="s">
        <v>302</v>
      </c>
      <c r="B286">
        <v>0</v>
      </c>
      <c r="C286">
        <v>0</v>
      </c>
      <c r="D286">
        <v>0</v>
      </c>
      <c r="F286">
        <v>0</v>
      </c>
      <c r="G286">
        <v>0</v>
      </c>
      <c r="H286">
        <v>1</v>
      </c>
      <c r="I286">
        <v>0</v>
      </c>
    </row>
    <row r="287" spans="1:9">
      <c r="A287" t="s">
        <v>303</v>
      </c>
      <c r="B287">
        <v>0</v>
      </c>
      <c r="C287">
        <v>0</v>
      </c>
      <c r="D287">
        <v>0</v>
      </c>
      <c r="F287">
        <v>0</v>
      </c>
      <c r="G287">
        <v>0</v>
      </c>
      <c r="H287">
        <v>1</v>
      </c>
      <c r="I287">
        <v>0</v>
      </c>
    </row>
    <row r="288" spans="1:9">
      <c r="A288" t="s">
        <v>304</v>
      </c>
      <c r="B288">
        <v>1756</v>
      </c>
      <c r="C288">
        <v>300</v>
      </c>
      <c r="D288">
        <v>2056</v>
      </c>
      <c r="F288">
        <v>0</v>
      </c>
      <c r="G288">
        <v>1</v>
      </c>
      <c r="H288">
        <v>0</v>
      </c>
      <c r="I288">
        <v>0</v>
      </c>
    </row>
    <row r="289" spans="1:9">
      <c r="A289" t="s">
        <v>305</v>
      </c>
      <c r="B289">
        <v>1885</v>
      </c>
      <c r="C289">
        <v>300</v>
      </c>
      <c r="D289">
        <v>2185</v>
      </c>
      <c r="F289">
        <v>0</v>
      </c>
      <c r="G289">
        <v>0</v>
      </c>
      <c r="H289">
        <v>0</v>
      </c>
      <c r="I289">
        <v>0</v>
      </c>
    </row>
    <row r="290" spans="1:9">
      <c r="A290" t="s">
        <v>306</v>
      </c>
      <c r="B290">
        <v>1885</v>
      </c>
      <c r="C290">
        <v>300</v>
      </c>
      <c r="D290">
        <v>2185</v>
      </c>
      <c r="F290">
        <v>0</v>
      </c>
      <c r="G290">
        <v>0</v>
      </c>
      <c r="H290">
        <v>0</v>
      </c>
      <c r="I290">
        <v>0</v>
      </c>
    </row>
    <row r="291" spans="1:9">
      <c r="A291" t="s">
        <v>307</v>
      </c>
      <c r="B291">
        <v>1885</v>
      </c>
      <c r="C291">
        <v>0</v>
      </c>
      <c r="D291">
        <v>1885</v>
      </c>
      <c r="F291">
        <v>0</v>
      </c>
      <c r="G291">
        <v>0</v>
      </c>
      <c r="H291">
        <v>0</v>
      </c>
      <c r="I291">
        <v>0</v>
      </c>
    </row>
    <row r="292" spans="1:9">
      <c r="A292" t="s">
        <v>308</v>
      </c>
      <c r="B292">
        <v>1885</v>
      </c>
      <c r="C292">
        <v>300</v>
      </c>
      <c r="D292">
        <v>2185</v>
      </c>
      <c r="F292">
        <v>0</v>
      </c>
      <c r="G292">
        <v>0</v>
      </c>
      <c r="H292">
        <v>0</v>
      </c>
      <c r="I292">
        <v>0</v>
      </c>
    </row>
    <row r="293" spans="1:9">
      <c r="A293" t="s">
        <v>309</v>
      </c>
      <c r="B293">
        <v>0</v>
      </c>
      <c r="C293">
        <v>0</v>
      </c>
      <c r="D293">
        <v>0</v>
      </c>
      <c r="F293">
        <v>0</v>
      </c>
      <c r="G293">
        <v>0</v>
      </c>
      <c r="H293">
        <v>0</v>
      </c>
      <c r="I293">
        <v>1</v>
      </c>
    </row>
    <row r="294" spans="1:9">
      <c r="A294" t="s">
        <v>310</v>
      </c>
      <c r="B294">
        <v>0</v>
      </c>
      <c r="C294">
        <v>0</v>
      </c>
      <c r="D294">
        <v>0</v>
      </c>
      <c r="F294">
        <v>0</v>
      </c>
      <c r="G294">
        <v>0</v>
      </c>
      <c r="H294">
        <v>1</v>
      </c>
      <c r="I294">
        <v>0</v>
      </c>
    </row>
    <row r="295" spans="1:9">
      <c r="A295" t="s">
        <v>311</v>
      </c>
      <c r="B295">
        <v>1885</v>
      </c>
      <c r="C295">
        <v>300</v>
      </c>
      <c r="D295">
        <v>2185</v>
      </c>
      <c r="F295">
        <v>0</v>
      </c>
      <c r="G295">
        <v>0</v>
      </c>
      <c r="H295">
        <v>0</v>
      </c>
      <c r="I295">
        <v>0</v>
      </c>
    </row>
    <row r="296" spans="1:9">
      <c r="A296" t="s">
        <v>312</v>
      </c>
      <c r="B296">
        <v>0</v>
      </c>
      <c r="C296">
        <v>0</v>
      </c>
      <c r="D296">
        <v>0</v>
      </c>
      <c r="F296">
        <v>0</v>
      </c>
      <c r="G296">
        <v>0</v>
      </c>
      <c r="H296">
        <v>0</v>
      </c>
      <c r="I296">
        <v>1</v>
      </c>
    </row>
    <row r="297" spans="1:9">
      <c r="A297" t="s">
        <v>313</v>
      </c>
      <c r="B297">
        <v>1885</v>
      </c>
      <c r="C297">
        <v>300</v>
      </c>
      <c r="D297">
        <v>2185</v>
      </c>
      <c r="F297">
        <v>0</v>
      </c>
      <c r="G297">
        <v>0</v>
      </c>
      <c r="H297">
        <v>0</v>
      </c>
      <c r="I297">
        <v>0</v>
      </c>
    </row>
    <row r="298" spans="1:9">
      <c r="A298" t="s">
        <v>314</v>
      </c>
      <c r="B298">
        <v>0</v>
      </c>
      <c r="C298">
        <v>0</v>
      </c>
      <c r="D298">
        <v>0</v>
      </c>
      <c r="F298">
        <v>0</v>
      </c>
      <c r="G298">
        <v>0</v>
      </c>
      <c r="H298">
        <v>1</v>
      </c>
      <c r="I298">
        <v>0</v>
      </c>
    </row>
    <row r="299" spans="1:9">
      <c r="A299" t="s">
        <v>315</v>
      </c>
      <c r="B299">
        <v>1885</v>
      </c>
      <c r="C299">
        <v>0</v>
      </c>
      <c r="D299">
        <v>1885</v>
      </c>
      <c r="F299">
        <v>0</v>
      </c>
      <c r="G299">
        <v>0</v>
      </c>
      <c r="H299">
        <v>0</v>
      </c>
      <c r="I299">
        <v>0</v>
      </c>
    </row>
    <row r="300" spans="1:9">
      <c r="A300" t="s">
        <v>316</v>
      </c>
      <c r="B300">
        <v>1885</v>
      </c>
      <c r="C300">
        <v>300</v>
      </c>
      <c r="D300">
        <v>2185</v>
      </c>
      <c r="F300">
        <v>0</v>
      </c>
      <c r="G300">
        <v>1</v>
      </c>
      <c r="H300">
        <v>0</v>
      </c>
      <c r="I300">
        <v>0</v>
      </c>
    </row>
    <row r="301" spans="1:9">
      <c r="A301" t="s">
        <v>317</v>
      </c>
      <c r="B301">
        <v>1885</v>
      </c>
      <c r="C301">
        <v>300</v>
      </c>
      <c r="D301">
        <v>2185</v>
      </c>
      <c r="F301">
        <v>0</v>
      </c>
      <c r="G301">
        <v>0</v>
      </c>
      <c r="H301">
        <v>0</v>
      </c>
      <c r="I301">
        <v>0</v>
      </c>
    </row>
    <row r="302" spans="1:9">
      <c r="A302" t="s">
        <v>318</v>
      </c>
      <c r="B302">
        <v>0</v>
      </c>
      <c r="C302">
        <v>0</v>
      </c>
      <c r="D302">
        <v>0</v>
      </c>
      <c r="F302">
        <v>0</v>
      </c>
      <c r="G302">
        <v>0</v>
      </c>
      <c r="H302">
        <v>1</v>
      </c>
      <c r="I302">
        <v>0</v>
      </c>
    </row>
    <row r="303" spans="1:9">
      <c r="A303" t="s">
        <v>319</v>
      </c>
      <c r="B303">
        <v>1903</v>
      </c>
      <c r="C303">
        <v>300</v>
      </c>
      <c r="D303">
        <v>2203</v>
      </c>
      <c r="F303">
        <v>0</v>
      </c>
      <c r="G303">
        <v>0</v>
      </c>
      <c r="H303">
        <v>0</v>
      </c>
      <c r="I303">
        <v>0</v>
      </c>
    </row>
    <row r="304" spans="1:9">
      <c r="A304" t="s">
        <v>320</v>
      </c>
      <c r="B304">
        <v>1903</v>
      </c>
      <c r="C304">
        <v>300</v>
      </c>
      <c r="D304">
        <v>2203</v>
      </c>
      <c r="F304">
        <v>0</v>
      </c>
      <c r="G304">
        <v>1</v>
      </c>
      <c r="H304">
        <v>0</v>
      </c>
      <c r="I304">
        <v>0</v>
      </c>
    </row>
    <row r="305" spans="1:9">
      <c r="A305" t="s">
        <v>321</v>
      </c>
      <c r="B305">
        <v>0</v>
      </c>
      <c r="C305">
        <v>0</v>
      </c>
      <c r="D305">
        <v>0</v>
      </c>
      <c r="F305">
        <v>0</v>
      </c>
      <c r="G305">
        <v>0</v>
      </c>
      <c r="H305">
        <v>1</v>
      </c>
      <c r="I305">
        <v>0</v>
      </c>
    </row>
    <row r="306" spans="1:9">
      <c r="A306" t="s">
        <v>322</v>
      </c>
      <c r="B306">
        <v>1903</v>
      </c>
      <c r="C306">
        <v>300</v>
      </c>
      <c r="D306">
        <v>2203</v>
      </c>
      <c r="F306">
        <v>0</v>
      </c>
      <c r="G306">
        <v>0</v>
      </c>
      <c r="H306">
        <v>0</v>
      </c>
      <c r="I306">
        <v>0</v>
      </c>
    </row>
    <row r="307" spans="1:9">
      <c r="A307" t="s">
        <v>323</v>
      </c>
      <c r="B307">
        <v>1903</v>
      </c>
      <c r="C307">
        <v>300</v>
      </c>
      <c r="D307">
        <v>2203</v>
      </c>
      <c r="F307">
        <v>0</v>
      </c>
      <c r="G307">
        <v>1</v>
      </c>
      <c r="H307">
        <v>0</v>
      </c>
      <c r="I307">
        <v>0</v>
      </c>
    </row>
    <row r="308" spans="1:9">
      <c r="A308" t="s">
        <v>324</v>
      </c>
      <c r="B308">
        <v>1903</v>
      </c>
      <c r="C308">
        <v>300</v>
      </c>
      <c r="D308">
        <v>2203</v>
      </c>
      <c r="F308">
        <v>0</v>
      </c>
      <c r="G308">
        <v>0</v>
      </c>
      <c r="H308">
        <v>0</v>
      </c>
      <c r="I308">
        <v>0</v>
      </c>
    </row>
    <row r="309" spans="1:9">
      <c r="A309" t="s">
        <v>325</v>
      </c>
      <c r="B309">
        <v>0</v>
      </c>
      <c r="C309">
        <v>0</v>
      </c>
      <c r="D309">
        <v>0</v>
      </c>
      <c r="F309">
        <v>0</v>
      </c>
      <c r="G309">
        <v>0</v>
      </c>
      <c r="H309">
        <v>0</v>
      </c>
      <c r="I309">
        <v>1</v>
      </c>
    </row>
    <row r="310" spans="1:9">
      <c r="A310" t="s">
        <v>326</v>
      </c>
      <c r="B310">
        <v>0</v>
      </c>
      <c r="C310">
        <v>0</v>
      </c>
      <c r="D310">
        <v>0</v>
      </c>
      <c r="F310">
        <v>0</v>
      </c>
      <c r="G310">
        <v>0</v>
      </c>
      <c r="H310">
        <v>1</v>
      </c>
      <c r="I310">
        <v>0</v>
      </c>
    </row>
    <row r="311" spans="1:9">
      <c r="A311" t="s">
        <v>327</v>
      </c>
      <c r="B311">
        <v>0</v>
      </c>
      <c r="C311">
        <v>0</v>
      </c>
      <c r="D311">
        <v>0</v>
      </c>
      <c r="F311">
        <v>0</v>
      </c>
      <c r="G311">
        <v>0</v>
      </c>
      <c r="H311">
        <v>0</v>
      </c>
      <c r="I311">
        <v>1</v>
      </c>
    </row>
    <row r="312" spans="1:9">
      <c r="A312" t="s">
        <v>328</v>
      </c>
      <c r="B312">
        <v>0</v>
      </c>
      <c r="C312">
        <v>0</v>
      </c>
      <c r="D312">
        <v>0</v>
      </c>
      <c r="F312">
        <v>0</v>
      </c>
      <c r="G312">
        <v>0</v>
      </c>
      <c r="H312">
        <v>1</v>
      </c>
      <c r="I312">
        <v>0</v>
      </c>
    </row>
    <row r="313" spans="1:9">
      <c r="A313" t="s">
        <v>329</v>
      </c>
      <c r="B313">
        <v>1903</v>
      </c>
      <c r="C313">
        <v>300</v>
      </c>
      <c r="D313">
        <v>2203</v>
      </c>
      <c r="F313">
        <v>0</v>
      </c>
      <c r="G313">
        <v>0</v>
      </c>
      <c r="H313">
        <v>0</v>
      </c>
      <c r="I313">
        <v>0</v>
      </c>
    </row>
    <row r="314" spans="1:9">
      <c r="A314" t="s">
        <v>330</v>
      </c>
      <c r="B314">
        <v>0</v>
      </c>
      <c r="C314">
        <v>0</v>
      </c>
      <c r="D314">
        <v>0</v>
      </c>
      <c r="F314">
        <v>0</v>
      </c>
      <c r="G314">
        <v>0</v>
      </c>
      <c r="H314">
        <v>1</v>
      </c>
      <c r="I314">
        <v>0</v>
      </c>
    </row>
    <row r="315" spans="1:9">
      <c r="A315" t="s">
        <v>331</v>
      </c>
      <c r="B315">
        <v>0</v>
      </c>
      <c r="C315">
        <v>0</v>
      </c>
      <c r="D315">
        <v>0</v>
      </c>
      <c r="F315">
        <v>0</v>
      </c>
      <c r="G315">
        <v>0</v>
      </c>
      <c r="H315">
        <v>1</v>
      </c>
      <c r="I315">
        <v>0</v>
      </c>
    </row>
    <row r="316" spans="1:9">
      <c r="A316" t="s">
        <v>332</v>
      </c>
      <c r="B316">
        <v>1903</v>
      </c>
      <c r="C316">
        <v>300</v>
      </c>
      <c r="D316">
        <v>2203</v>
      </c>
      <c r="F316">
        <v>0</v>
      </c>
      <c r="G316">
        <v>0</v>
      </c>
      <c r="H316">
        <v>0</v>
      </c>
      <c r="I316">
        <v>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49AC-55A2-468E-A9C4-896864126A67}">
  <sheetPr codeName="工作表1"/>
  <dimension ref="A1:J33"/>
  <sheetViews>
    <sheetView workbookViewId="0">
      <selection activeCell="A2" sqref="A2"/>
    </sheetView>
  </sheetViews>
  <sheetFormatPr defaultRowHeight="16.5"/>
  <cols>
    <col min="1" max="1" width="15.5" customWidth="1"/>
    <col min="2" max="2" width="13.375" customWidth="1"/>
    <col min="3" max="3" width="11.25" customWidth="1"/>
    <col min="4" max="4" width="13.375" customWidth="1"/>
    <col min="5" max="5" width="11.25" style="34" customWidth="1"/>
    <col min="6" max="10" width="11.25" customWidth="1"/>
  </cols>
  <sheetData>
    <row r="1" spans="1:10">
      <c r="A1" s="26" t="s">
        <v>751</v>
      </c>
      <c r="B1" s="26" t="s">
        <v>370</v>
      </c>
      <c r="C1" s="26" t="s">
        <v>371</v>
      </c>
      <c r="D1" s="26" t="s">
        <v>372</v>
      </c>
      <c r="E1" s="33" t="s">
        <v>752</v>
      </c>
      <c r="F1" s="26" t="s">
        <v>373</v>
      </c>
      <c r="G1" s="26" t="s">
        <v>374</v>
      </c>
      <c r="H1" s="26" t="s">
        <v>753</v>
      </c>
      <c r="I1" s="26" t="s">
        <v>754</v>
      </c>
      <c r="J1" s="26" t="s">
        <v>755</v>
      </c>
    </row>
    <row r="3" spans="1:10">
      <c r="A3" s="45"/>
      <c r="B3" s="45"/>
      <c r="C3" s="45"/>
      <c r="D3" s="45"/>
      <c r="E3" s="58"/>
      <c r="F3" s="46"/>
      <c r="G3" s="19"/>
    </row>
    <row r="4" spans="1:10">
      <c r="A4" s="19"/>
      <c r="B4" s="19"/>
      <c r="C4" s="47"/>
      <c r="D4" s="47"/>
      <c r="E4" s="48"/>
      <c r="F4" s="46"/>
      <c r="G4" s="19"/>
    </row>
    <row r="5" spans="1:10">
      <c r="A5" s="19"/>
      <c r="B5" s="19"/>
      <c r="C5" s="47"/>
      <c r="D5" s="47"/>
      <c r="E5" s="48"/>
      <c r="F5" s="46"/>
      <c r="G5" s="19"/>
    </row>
    <row r="7" spans="1:10">
      <c r="A7" s="19"/>
      <c r="B7" s="19"/>
      <c r="C7" s="47"/>
      <c r="D7" s="47"/>
      <c r="E7" s="48"/>
      <c r="F7" s="46"/>
      <c r="G7" s="19"/>
    </row>
    <row r="9" spans="1:10">
      <c r="A9" s="19"/>
      <c r="B9" s="19"/>
      <c r="C9" s="47"/>
      <c r="D9" s="47"/>
      <c r="E9" s="48"/>
      <c r="F9" s="46"/>
      <c r="G9" s="19"/>
    </row>
    <row r="10" spans="1:10">
      <c r="A10" s="45"/>
      <c r="B10" s="45"/>
      <c r="C10" s="45"/>
      <c r="D10" s="45"/>
      <c r="E10" s="58"/>
      <c r="F10" s="46"/>
      <c r="G10" s="19"/>
    </row>
    <row r="11" spans="1:10">
      <c r="A11" s="19"/>
      <c r="B11" s="19"/>
      <c r="C11" s="47"/>
      <c r="D11" s="47"/>
      <c r="E11" s="48"/>
      <c r="F11" s="46"/>
      <c r="G11" s="19"/>
    </row>
    <row r="12" spans="1:10">
      <c r="A12" s="19"/>
      <c r="B12" s="19"/>
      <c r="C12" s="47"/>
      <c r="D12" s="47"/>
      <c r="E12" s="48"/>
      <c r="F12" s="46"/>
      <c r="G12" s="19"/>
    </row>
    <row r="13" spans="1:10">
      <c r="A13" s="19"/>
      <c r="B13" s="19"/>
      <c r="C13" s="47"/>
      <c r="D13" s="47"/>
      <c r="E13" s="48"/>
      <c r="F13" s="46"/>
      <c r="G13" s="19"/>
    </row>
    <row r="14" spans="1:10">
      <c r="A14" s="19"/>
      <c r="B14" s="19"/>
      <c r="C14" s="47"/>
      <c r="D14" s="47"/>
      <c r="E14" s="48"/>
      <c r="F14" s="46"/>
      <c r="G14" s="19"/>
    </row>
    <row r="15" spans="1:10">
      <c r="A15" s="19"/>
      <c r="B15" s="19"/>
      <c r="C15" s="47"/>
      <c r="D15" s="47"/>
      <c r="E15" s="48"/>
      <c r="F15" s="46"/>
      <c r="G15" s="19"/>
    </row>
    <row r="16" spans="1:10">
      <c r="A16" s="19"/>
      <c r="B16" s="19"/>
      <c r="C16" s="47"/>
      <c r="D16" s="47"/>
      <c r="E16" s="48"/>
      <c r="F16" s="46"/>
      <c r="G16" s="19"/>
    </row>
    <row r="17" spans="1:10">
      <c r="A17" s="19"/>
      <c r="B17" s="19"/>
      <c r="C17" s="47"/>
      <c r="D17" s="47"/>
      <c r="E17" s="48"/>
      <c r="F17" s="46"/>
      <c r="G17" s="19"/>
    </row>
    <row r="18" spans="1:10">
      <c r="A18" s="19"/>
      <c r="B18" s="19"/>
      <c r="C18" s="47"/>
      <c r="D18" s="47"/>
      <c r="E18" s="48"/>
      <c r="F18" s="46"/>
      <c r="G18" s="19"/>
    </row>
    <row r="19" spans="1:10">
      <c r="A19" s="19"/>
      <c r="B19" s="19"/>
      <c r="C19" s="47"/>
      <c r="D19" s="47"/>
      <c r="E19" s="48"/>
      <c r="F19" s="46"/>
      <c r="G19" s="19"/>
    </row>
    <row r="20" spans="1:10">
      <c r="A20" s="19"/>
      <c r="B20" s="19"/>
      <c r="C20" s="47"/>
      <c r="D20" s="47"/>
      <c r="E20" s="48"/>
      <c r="F20" s="46"/>
      <c r="G20" s="19"/>
    </row>
    <row r="21" spans="1:10">
      <c r="A21" s="19"/>
      <c r="B21" s="19"/>
      <c r="C21" s="47"/>
      <c r="D21" s="47"/>
      <c r="E21" s="48"/>
      <c r="F21" s="46"/>
      <c r="G21" s="19"/>
    </row>
    <row r="23" spans="1:10" s="19" customFormat="1">
      <c r="E23" s="48"/>
      <c r="H23"/>
      <c r="I23"/>
      <c r="J23"/>
    </row>
    <row r="24" spans="1:10" s="19" customFormat="1">
      <c r="C24" s="47"/>
      <c r="D24" s="47"/>
      <c r="E24" s="48"/>
      <c r="F24" s="46"/>
      <c r="H24"/>
      <c r="I24"/>
      <c r="J24"/>
    </row>
    <row r="25" spans="1:10" s="19" customFormat="1">
      <c r="A25" s="49"/>
      <c r="B25" s="49"/>
      <c r="C25" s="49"/>
      <c r="D25" s="49"/>
      <c r="E25" s="50"/>
      <c r="F25" s="57"/>
      <c r="G25" s="47"/>
      <c r="H25" s="47"/>
      <c r="I25" s="47"/>
      <c r="J25" s="47"/>
    </row>
    <row r="26" spans="1:10">
      <c r="A26" s="51"/>
      <c r="B26" s="51"/>
      <c r="C26" s="61"/>
      <c r="D26" s="61"/>
      <c r="E26" s="52"/>
      <c r="F26" s="46"/>
      <c r="G26" s="19"/>
    </row>
    <row r="27" spans="1:10">
      <c r="A27" s="53"/>
      <c r="B27" s="54"/>
      <c r="C27" s="55"/>
      <c r="D27" s="55"/>
      <c r="E27" s="56"/>
      <c r="F27" s="46"/>
      <c r="G27" s="19"/>
    </row>
    <row r="28" spans="1:10">
      <c r="A28" s="59"/>
      <c r="B28" s="60"/>
      <c r="C28" s="60"/>
      <c r="D28" s="60"/>
      <c r="E28" s="62"/>
      <c r="F28" s="46"/>
      <c r="G28" s="19"/>
    </row>
    <row r="29" spans="1:10">
      <c r="A29" s="36"/>
      <c r="B29" s="37"/>
      <c r="C29" s="37"/>
      <c r="D29" s="37"/>
      <c r="E29" s="38"/>
    </row>
    <row r="30" spans="1:10">
      <c r="A30" s="19"/>
      <c r="B30" s="19"/>
      <c r="C30" s="47"/>
      <c r="D30" s="47"/>
      <c r="E30" s="48"/>
      <c r="F30" s="46"/>
      <c r="G30" s="19"/>
    </row>
    <row r="31" spans="1:10">
      <c r="A31" s="19"/>
      <c r="B31" s="19"/>
      <c r="C31" s="47"/>
      <c r="D31" s="47"/>
      <c r="E31" s="48"/>
      <c r="F31" s="46"/>
      <c r="G31" s="19"/>
    </row>
    <row r="32" spans="1:10">
      <c r="A32" s="19"/>
      <c r="B32" s="19"/>
      <c r="C32" s="19"/>
      <c r="D32" s="19"/>
      <c r="E32" s="48"/>
      <c r="F32" s="46"/>
      <c r="G32" s="19"/>
    </row>
    <row r="33" spans="1:7">
      <c r="A33" s="19"/>
      <c r="B33" s="19"/>
      <c r="C33" s="47"/>
      <c r="D33" s="47"/>
      <c r="E33" s="48"/>
      <c r="F33" s="46"/>
      <c r="G33" s="1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89CA-2C91-4C07-A97A-7536E5EA4827}">
  <sheetPr codeName="工作表9"/>
  <dimension ref="A1:C3"/>
  <sheetViews>
    <sheetView workbookViewId="0">
      <selection activeCell="C2" sqref="C2"/>
    </sheetView>
  </sheetViews>
  <sheetFormatPr defaultRowHeight="16.5"/>
  <cols>
    <col min="2" max="2" width="13.75" customWidth="1"/>
    <col min="3" max="3" width="21.5" customWidth="1"/>
  </cols>
  <sheetData>
    <row r="1" spans="1:3" ht="20.25">
      <c r="A1" s="1" t="s">
        <v>376</v>
      </c>
      <c r="B1" s="1"/>
    </row>
    <row r="3" spans="1:3">
      <c r="A3" s="2" t="s">
        <v>377</v>
      </c>
      <c r="B3" s="2" t="s">
        <v>25</v>
      </c>
      <c r="C3" s="2" t="s">
        <v>378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6FBD-0804-43AD-B23B-56A9ADE95C08}">
  <sheetPr codeName="工作表12"/>
  <dimension ref="A1:C3"/>
  <sheetViews>
    <sheetView workbookViewId="0">
      <selection activeCell="C2" sqref="C2"/>
    </sheetView>
  </sheetViews>
  <sheetFormatPr defaultRowHeight="16.5"/>
  <cols>
    <col min="1" max="1" width="11.125" customWidth="1"/>
    <col min="2" max="2" width="12.5" customWidth="1"/>
    <col min="3" max="3" width="22.25" customWidth="1"/>
  </cols>
  <sheetData>
    <row r="1" spans="1:3" ht="20.25">
      <c r="A1" s="1" t="s">
        <v>848</v>
      </c>
      <c r="B1" s="1"/>
      <c r="C1" t="s">
        <v>890</v>
      </c>
    </row>
    <row r="3" spans="1:3">
      <c r="A3" s="2" t="s">
        <v>377</v>
      </c>
      <c r="B3" s="2" t="s">
        <v>849</v>
      </c>
      <c r="C3" s="2" t="s">
        <v>379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A46C-27C8-4D19-9261-A33E623E962A}">
  <sheetPr codeName="工作表7"/>
  <dimension ref="A1:U7"/>
  <sheetViews>
    <sheetView workbookViewId="0">
      <selection activeCell="D1" sqref="D1"/>
    </sheetView>
  </sheetViews>
  <sheetFormatPr defaultRowHeight="16.5"/>
  <cols>
    <col min="1" max="2" width="15" customWidth="1"/>
    <col min="3" max="3" width="23.125" customWidth="1"/>
    <col min="4" max="4" width="11.75" customWidth="1"/>
    <col min="5" max="5" width="14.25" customWidth="1"/>
    <col min="6" max="6" width="15" customWidth="1"/>
    <col min="7" max="7" width="15.5" customWidth="1"/>
    <col min="8" max="8" width="30.5" customWidth="1"/>
    <col min="9" max="9" width="23.25" customWidth="1"/>
    <col min="10" max="10" width="13.75" customWidth="1"/>
    <col min="11" max="11" width="11.75" customWidth="1"/>
    <col min="12" max="12" width="12.75" customWidth="1"/>
    <col min="13" max="13" width="10.5" customWidth="1"/>
  </cols>
  <sheetData>
    <row r="1" spans="1:21">
      <c r="A1" s="9" t="s">
        <v>701</v>
      </c>
      <c r="B1" s="10" t="s">
        <v>702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9" t="s">
        <v>703</v>
      </c>
      <c r="B2" s="10" t="s">
        <v>704</v>
      </c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9" t="s">
        <v>705</v>
      </c>
      <c r="B3" s="12" t="s">
        <v>706</v>
      </c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>
      <c r="A4" s="9" t="s">
        <v>707</v>
      </c>
      <c r="B4" s="10" t="s">
        <v>785</v>
      </c>
      <c r="C4" s="11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>
      <c r="A5" s="9" t="s">
        <v>708</v>
      </c>
      <c r="B5" s="12">
        <v>202606</v>
      </c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9" t="s">
        <v>709</v>
      </c>
      <c r="B6" s="13">
        <v>38002</v>
      </c>
      <c r="C6" s="11" t="s">
        <v>710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ht="31.5">
      <c r="A7" s="14" t="s">
        <v>711</v>
      </c>
      <c r="B7" s="14" t="s">
        <v>712</v>
      </c>
      <c r="C7" s="14" t="s">
        <v>713</v>
      </c>
      <c r="D7" s="15" t="s">
        <v>714</v>
      </c>
      <c r="E7" s="14" t="s">
        <v>715</v>
      </c>
      <c r="F7" s="14" t="s">
        <v>716</v>
      </c>
      <c r="G7" s="14" t="s">
        <v>717</v>
      </c>
      <c r="H7" s="14" t="s">
        <v>718</v>
      </c>
      <c r="I7" s="14" t="s">
        <v>719</v>
      </c>
      <c r="J7" s="15" t="s">
        <v>720</v>
      </c>
      <c r="K7" s="15" t="s">
        <v>721</v>
      </c>
      <c r="L7" s="15" t="s">
        <v>722</v>
      </c>
      <c r="M7" s="15" t="s">
        <v>25</v>
      </c>
      <c r="N7" s="15" t="s">
        <v>849</v>
      </c>
      <c r="O7" s="15" t="s">
        <v>723</v>
      </c>
      <c r="P7" s="15" t="s">
        <v>724</v>
      </c>
      <c r="Q7" s="15" t="s">
        <v>725</v>
      </c>
      <c r="R7" s="15" t="s">
        <v>726</v>
      </c>
      <c r="S7" s="15" t="s">
        <v>727</v>
      </c>
      <c r="T7" s="16" t="s">
        <v>728</v>
      </c>
      <c r="U7" s="16" t="s">
        <v>729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83EBD-25DD-4DA9-9ADD-250530D48DE5}">
  <sheetPr codeName="工作表23"/>
  <dimension ref="A1:U7"/>
  <sheetViews>
    <sheetView workbookViewId="0">
      <selection activeCell="D1" sqref="D1"/>
    </sheetView>
  </sheetViews>
  <sheetFormatPr defaultRowHeight="16.5"/>
  <cols>
    <col min="1" max="2" width="15" customWidth="1"/>
    <col min="3" max="3" width="23.125" customWidth="1"/>
    <col min="4" max="4" width="11.75" customWidth="1"/>
    <col min="5" max="5" width="14.25" customWidth="1"/>
    <col min="6" max="6" width="15" customWidth="1"/>
    <col min="7" max="7" width="15.5" customWidth="1"/>
    <col min="8" max="8" width="30.5" customWidth="1"/>
    <col min="9" max="9" width="23.25" customWidth="1"/>
    <col min="10" max="10" width="13.75" customWidth="1"/>
    <col min="11" max="11" width="11.75" customWidth="1"/>
    <col min="12" max="12" width="12.75" customWidth="1"/>
    <col min="13" max="13" width="10.5" customWidth="1"/>
  </cols>
  <sheetData>
    <row r="1" spans="1:21">
      <c r="A1" s="9" t="s">
        <v>701</v>
      </c>
      <c r="B1" s="10" t="s">
        <v>702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9" t="s">
        <v>703</v>
      </c>
      <c r="B2" s="10" t="s">
        <v>704</v>
      </c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9" t="s">
        <v>705</v>
      </c>
      <c r="B3" s="12" t="s">
        <v>706</v>
      </c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>
      <c r="A4" s="9" t="s">
        <v>707</v>
      </c>
      <c r="B4" s="10" t="s">
        <v>785</v>
      </c>
      <c r="C4" s="11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>
      <c r="A5" s="9" t="s">
        <v>708</v>
      </c>
      <c r="B5" s="12">
        <v>202606</v>
      </c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9" t="s">
        <v>709</v>
      </c>
      <c r="B6" s="13">
        <v>38002</v>
      </c>
      <c r="C6" s="11" t="s">
        <v>710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ht="31.5">
      <c r="A7" s="14" t="s">
        <v>711</v>
      </c>
      <c r="B7" s="14" t="s">
        <v>712</v>
      </c>
      <c r="C7" s="14" t="s">
        <v>713</v>
      </c>
      <c r="D7" s="15" t="s">
        <v>714</v>
      </c>
      <c r="E7" s="14" t="s">
        <v>715</v>
      </c>
      <c r="F7" s="14" t="s">
        <v>716</v>
      </c>
      <c r="G7" s="14" t="s">
        <v>717</v>
      </c>
      <c r="H7" s="14" t="s">
        <v>718</v>
      </c>
      <c r="I7" s="14" t="s">
        <v>719</v>
      </c>
      <c r="J7" s="15" t="s">
        <v>720</v>
      </c>
      <c r="K7" s="15" t="s">
        <v>721</v>
      </c>
      <c r="L7" s="15" t="s">
        <v>722</v>
      </c>
      <c r="M7" s="15" t="s">
        <v>25</v>
      </c>
      <c r="N7" s="15" t="s">
        <v>849</v>
      </c>
      <c r="O7" s="15" t="s">
        <v>723</v>
      </c>
      <c r="P7" s="15" t="s">
        <v>724</v>
      </c>
      <c r="Q7" s="15" t="s">
        <v>725</v>
      </c>
      <c r="R7" s="15" t="s">
        <v>726</v>
      </c>
      <c r="S7" s="15" t="s">
        <v>727</v>
      </c>
      <c r="T7" s="16" t="s">
        <v>728</v>
      </c>
      <c r="U7" s="16" t="s">
        <v>729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B32D6-C418-4289-8C55-1F2B0ECDAAE8}">
  <sheetPr codeName="工作表8"/>
  <dimension ref="A1:J62"/>
  <sheetViews>
    <sheetView workbookViewId="0">
      <selection activeCell="D1" sqref="D1"/>
    </sheetView>
  </sheetViews>
  <sheetFormatPr defaultRowHeight="16.5"/>
  <cols>
    <col min="1" max="1" width="18.375" customWidth="1"/>
    <col min="2" max="2" width="18.5" customWidth="1"/>
    <col min="3" max="3" width="12.25" customWidth="1"/>
    <col min="4" max="4" width="11.875" customWidth="1"/>
    <col min="5" max="5" width="12.125" customWidth="1"/>
  </cols>
  <sheetData>
    <row r="1" spans="1:10">
      <c r="A1" s="2" t="str">
        <f ca="1">"翡翠流域" &amp; 基本資料!B27 &amp; "委託轉帳代繳業務費用授權清冊"</f>
        <v>翡翠流域202606委託轉帳代繳業務費用授權清冊</v>
      </c>
    </row>
    <row r="3" spans="1:10" ht="19.5">
      <c r="A3" s="29" t="s">
        <v>730</v>
      </c>
      <c r="B3" s="29" t="s">
        <v>731</v>
      </c>
      <c r="C3" s="29" t="s">
        <v>878</v>
      </c>
      <c r="D3" s="29" t="s">
        <v>732</v>
      </c>
      <c r="E3" s="29" t="s">
        <v>733</v>
      </c>
      <c r="G3" s="30"/>
      <c r="H3" s="30"/>
      <c r="I3" s="31"/>
      <c r="J3" s="30"/>
    </row>
    <row r="4" spans="1:10">
      <c r="A4" s="63" t="s">
        <v>1549</v>
      </c>
      <c r="B4" s="32" t="s">
        <v>1499</v>
      </c>
      <c r="C4" s="29">
        <v>202606</v>
      </c>
      <c r="D4" s="29" t="s">
        <v>32</v>
      </c>
      <c r="E4" s="29">
        <v>0</v>
      </c>
    </row>
    <row r="5" spans="1:10">
      <c r="A5" s="63" t="s">
        <v>1550</v>
      </c>
      <c r="B5" s="32" t="s">
        <v>1500</v>
      </c>
      <c r="C5" s="29">
        <v>202606</v>
      </c>
      <c r="D5" s="29" t="s">
        <v>33</v>
      </c>
      <c r="E5" s="29">
        <v>3841</v>
      </c>
    </row>
    <row r="6" spans="1:10">
      <c r="A6" s="63" t="s">
        <v>1551</v>
      </c>
      <c r="B6" s="32" t="s">
        <v>1501</v>
      </c>
      <c r="C6" s="29">
        <v>202606</v>
      </c>
      <c r="D6" s="29" t="s">
        <v>39</v>
      </c>
      <c r="E6" s="29">
        <v>0</v>
      </c>
    </row>
    <row r="7" spans="1:10">
      <c r="A7" s="63" t="s">
        <v>1552</v>
      </c>
      <c r="B7" s="32" t="s">
        <v>1502</v>
      </c>
      <c r="C7" s="29">
        <v>202606</v>
      </c>
      <c r="D7" s="29" t="s">
        <v>44</v>
      </c>
      <c r="E7" s="29">
        <v>3487</v>
      </c>
    </row>
    <row r="8" spans="1:10">
      <c r="A8" s="63" t="s">
        <v>1553</v>
      </c>
      <c r="B8" s="32" t="s">
        <v>1503</v>
      </c>
      <c r="C8" s="29">
        <v>202606</v>
      </c>
      <c r="D8" s="29" t="s">
        <v>45</v>
      </c>
      <c r="E8" s="29">
        <v>3487</v>
      </c>
    </row>
    <row r="9" spans="1:10">
      <c r="A9" s="63" t="s">
        <v>1554</v>
      </c>
      <c r="B9" s="32" t="s">
        <v>1504</v>
      </c>
      <c r="C9" s="29">
        <v>202606</v>
      </c>
      <c r="D9" s="29" t="s">
        <v>48</v>
      </c>
      <c r="E9" s="29">
        <v>0</v>
      </c>
    </row>
    <row r="10" spans="1:10">
      <c r="A10" s="63" t="s">
        <v>1555</v>
      </c>
      <c r="B10" s="32" t="s">
        <v>1505</v>
      </c>
      <c r="C10" s="29">
        <v>202606</v>
      </c>
      <c r="D10" s="29" t="s">
        <v>49</v>
      </c>
      <c r="E10" s="29">
        <v>3487</v>
      </c>
    </row>
    <row r="11" spans="1:10">
      <c r="A11" s="63" t="s">
        <v>1556</v>
      </c>
      <c r="B11" s="32" t="s">
        <v>1506</v>
      </c>
      <c r="C11" s="29">
        <v>202606</v>
      </c>
      <c r="D11" s="29" t="s">
        <v>50</v>
      </c>
      <c r="E11" s="29">
        <v>0</v>
      </c>
    </row>
    <row r="12" spans="1:10">
      <c r="A12" s="63" t="s">
        <v>1557</v>
      </c>
      <c r="B12" s="32" t="s">
        <v>1507</v>
      </c>
      <c r="C12" s="29">
        <v>202606</v>
      </c>
      <c r="D12" s="29" t="s">
        <v>53</v>
      </c>
      <c r="E12" s="29">
        <v>0</v>
      </c>
    </row>
    <row r="13" spans="1:10">
      <c r="A13" s="63" t="s">
        <v>1558</v>
      </c>
      <c r="B13" s="32" t="s">
        <v>1508</v>
      </c>
      <c r="C13" s="29">
        <v>202606</v>
      </c>
      <c r="D13" s="29" t="s">
        <v>829</v>
      </c>
      <c r="E13" s="29">
        <v>0</v>
      </c>
    </row>
    <row r="14" spans="1:10">
      <c r="A14" s="63" t="s">
        <v>1559</v>
      </c>
      <c r="B14" s="32" t="s">
        <v>1509</v>
      </c>
      <c r="C14" s="29">
        <v>202606</v>
      </c>
      <c r="D14" s="29" t="s">
        <v>61</v>
      </c>
      <c r="E14" s="29">
        <v>0</v>
      </c>
    </row>
    <row r="15" spans="1:10">
      <c r="A15" s="63" t="s">
        <v>1560</v>
      </c>
      <c r="B15" s="32" t="s">
        <v>1510</v>
      </c>
      <c r="C15" s="29">
        <v>202606</v>
      </c>
      <c r="D15" s="29" t="s">
        <v>63</v>
      </c>
      <c r="E15" s="29">
        <v>0</v>
      </c>
    </row>
    <row r="16" spans="1:10">
      <c r="A16" s="63" t="s">
        <v>1561</v>
      </c>
      <c r="B16" s="32" t="s">
        <v>1511</v>
      </c>
      <c r="C16" s="29">
        <v>202606</v>
      </c>
      <c r="D16" s="29" t="s">
        <v>78</v>
      </c>
      <c r="E16" s="29">
        <v>0</v>
      </c>
    </row>
    <row r="17" spans="1:5">
      <c r="A17" s="63" t="s">
        <v>1562</v>
      </c>
      <c r="B17" s="32" t="s">
        <v>1512</v>
      </c>
      <c r="C17" s="29">
        <v>202606</v>
      </c>
      <c r="D17" s="29" t="s">
        <v>79</v>
      </c>
      <c r="E17" s="29">
        <v>0</v>
      </c>
    </row>
    <row r="18" spans="1:5">
      <c r="A18" s="63" t="s">
        <v>1563</v>
      </c>
      <c r="B18" s="32" t="s">
        <v>1513</v>
      </c>
      <c r="C18" s="29">
        <v>202606</v>
      </c>
      <c r="D18" s="29" t="s">
        <v>82</v>
      </c>
      <c r="E18" s="29">
        <v>0</v>
      </c>
    </row>
    <row r="19" spans="1:5">
      <c r="A19" s="63" t="s">
        <v>1564</v>
      </c>
      <c r="B19" s="32" t="s">
        <v>1514</v>
      </c>
      <c r="C19" s="29">
        <v>202606</v>
      </c>
      <c r="D19" s="29" t="s">
        <v>86</v>
      </c>
      <c r="E19" s="29">
        <v>0</v>
      </c>
    </row>
    <row r="20" spans="1:5">
      <c r="A20" s="63" t="s">
        <v>1565</v>
      </c>
      <c r="B20" s="32" t="s">
        <v>1515</v>
      </c>
      <c r="C20" s="29">
        <v>202606</v>
      </c>
      <c r="D20" s="29" t="s">
        <v>88</v>
      </c>
      <c r="E20" s="29">
        <v>3503</v>
      </c>
    </row>
    <row r="21" spans="1:5">
      <c r="A21" s="63" t="s">
        <v>1566</v>
      </c>
      <c r="B21" s="32" t="s">
        <v>1516</v>
      </c>
      <c r="C21" s="29">
        <v>202606</v>
      </c>
      <c r="D21" s="29" t="s">
        <v>93</v>
      </c>
      <c r="E21" s="29">
        <v>0</v>
      </c>
    </row>
    <row r="22" spans="1:5">
      <c r="A22" s="63" t="s">
        <v>1567</v>
      </c>
      <c r="B22" s="32" t="s">
        <v>1517</v>
      </c>
      <c r="C22" s="29">
        <v>202606</v>
      </c>
      <c r="D22" s="29" t="s">
        <v>96</v>
      </c>
      <c r="E22" s="29">
        <v>3503</v>
      </c>
    </row>
    <row r="23" spans="1:5">
      <c r="A23" s="63" t="s">
        <v>1568</v>
      </c>
      <c r="B23" s="32" t="s">
        <v>1518</v>
      </c>
      <c r="C23" s="29">
        <v>202606</v>
      </c>
      <c r="D23" s="29" t="s">
        <v>105</v>
      </c>
      <c r="E23" s="29">
        <v>3095</v>
      </c>
    </row>
    <row r="24" spans="1:5">
      <c r="A24" s="63" t="s">
        <v>1569</v>
      </c>
      <c r="B24" s="32" t="s">
        <v>1519</v>
      </c>
      <c r="C24" s="29">
        <v>202606</v>
      </c>
      <c r="D24" s="29" t="s">
        <v>107</v>
      </c>
      <c r="E24" s="29">
        <v>3395</v>
      </c>
    </row>
    <row r="25" spans="1:5">
      <c r="A25" s="63" t="s">
        <v>1570</v>
      </c>
      <c r="B25" s="32" t="s">
        <v>1520</v>
      </c>
      <c r="C25" s="29">
        <v>202606</v>
      </c>
      <c r="D25" s="29" t="s">
        <v>110</v>
      </c>
      <c r="E25" s="29">
        <v>0</v>
      </c>
    </row>
    <row r="26" spans="1:5">
      <c r="A26" s="63" t="s">
        <v>1571</v>
      </c>
      <c r="B26" s="32" t="s">
        <v>1521</v>
      </c>
      <c r="C26" s="29">
        <v>202606</v>
      </c>
      <c r="D26" s="29" t="s">
        <v>830</v>
      </c>
      <c r="E26" s="29">
        <v>2755</v>
      </c>
    </row>
    <row r="27" spans="1:5">
      <c r="A27" s="63" t="s">
        <v>1572</v>
      </c>
      <c r="B27" s="32" t="s">
        <v>1522</v>
      </c>
      <c r="C27" s="29">
        <v>202606</v>
      </c>
      <c r="D27" s="29" t="s">
        <v>118</v>
      </c>
      <c r="E27" s="29">
        <v>2755</v>
      </c>
    </row>
    <row r="28" spans="1:5">
      <c r="A28" s="63" t="s">
        <v>1573</v>
      </c>
      <c r="B28" s="32" t="s">
        <v>1523</v>
      </c>
      <c r="C28" s="29">
        <v>202606</v>
      </c>
      <c r="D28" s="29" t="s">
        <v>129</v>
      </c>
      <c r="E28" s="29">
        <v>0</v>
      </c>
    </row>
    <row r="29" spans="1:5">
      <c r="A29" s="63" t="s">
        <v>1574</v>
      </c>
      <c r="B29" s="32" t="s">
        <v>1524</v>
      </c>
      <c r="C29" s="29">
        <v>202606</v>
      </c>
      <c r="D29" s="29" t="s">
        <v>132</v>
      </c>
      <c r="E29" s="29">
        <v>2659</v>
      </c>
    </row>
    <row r="30" spans="1:5">
      <c r="A30" s="63" t="s">
        <v>1575</v>
      </c>
      <c r="B30" s="32" t="s">
        <v>1525</v>
      </c>
      <c r="C30" s="29">
        <v>202606</v>
      </c>
      <c r="D30" s="29" t="s">
        <v>138</v>
      </c>
      <c r="E30" s="29">
        <v>2659</v>
      </c>
    </row>
    <row r="31" spans="1:5">
      <c r="A31" s="63" t="s">
        <v>1576</v>
      </c>
      <c r="B31" s="32" t="s">
        <v>1526</v>
      </c>
      <c r="C31" s="29">
        <v>202606</v>
      </c>
      <c r="D31" s="29" t="s">
        <v>147</v>
      </c>
      <c r="E31" s="29">
        <v>0</v>
      </c>
    </row>
    <row r="32" spans="1:5">
      <c r="A32" s="63" t="s">
        <v>1577</v>
      </c>
      <c r="B32" s="32" t="s">
        <v>1527</v>
      </c>
      <c r="C32" s="29">
        <v>202606</v>
      </c>
      <c r="D32" s="29" t="s">
        <v>149</v>
      </c>
      <c r="E32" s="29">
        <v>0</v>
      </c>
    </row>
    <row r="33" spans="1:5">
      <c r="A33" s="63" t="s">
        <v>1578</v>
      </c>
      <c r="B33" s="32" t="s">
        <v>1528</v>
      </c>
      <c r="C33" s="29">
        <v>202606</v>
      </c>
      <c r="D33" s="29" t="s">
        <v>158</v>
      </c>
      <c r="E33" s="29">
        <v>0</v>
      </c>
    </row>
    <row r="34" spans="1:5">
      <c r="A34" s="63" t="s">
        <v>1579</v>
      </c>
      <c r="B34" s="32" t="s">
        <v>1529</v>
      </c>
      <c r="C34" s="29">
        <v>202606</v>
      </c>
      <c r="D34" s="29" t="s">
        <v>165</v>
      </c>
      <c r="E34" s="29">
        <v>0</v>
      </c>
    </row>
    <row r="35" spans="1:5">
      <c r="A35" s="63" t="s">
        <v>1580</v>
      </c>
      <c r="B35" s="32" t="s">
        <v>1530</v>
      </c>
      <c r="C35" s="29">
        <v>202606</v>
      </c>
      <c r="D35" s="29" t="s">
        <v>190</v>
      </c>
      <c r="E35" s="29">
        <v>0</v>
      </c>
    </row>
    <row r="36" spans="1:5">
      <c r="A36" s="63" t="s">
        <v>1581</v>
      </c>
      <c r="B36" s="32" t="s">
        <v>1531</v>
      </c>
      <c r="C36" s="29">
        <v>202606</v>
      </c>
      <c r="D36" s="29" t="s">
        <v>207</v>
      </c>
      <c r="E36" s="29">
        <v>0</v>
      </c>
    </row>
    <row r="37" spans="1:5">
      <c r="A37" s="63" t="s">
        <v>1582</v>
      </c>
      <c r="B37" s="32" t="s">
        <v>1532</v>
      </c>
      <c r="C37" s="29">
        <v>202606</v>
      </c>
      <c r="D37" s="29" t="s">
        <v>810</v>
      </c>
      <c r="E37" s="29">
        <v>2778</v>
      </c>
    </row>
    <row r="38" spans="1:5">
      <c r="A38" s="63" t="s">
        <v>1583</v>
      </c>
      <c r="B38" s="32" t="s">
        <v>1533</v>
      </c>
      <c r="C38" s="29">
        <v>202606</v>
      </c>
      <c r="D38" s="29" t="s">
        <v>212</v>
      </c>
      <c r="E38" s="29">
        <v>0</v>
      </c>
    </row>
    <row r="39" spans="1:5">
      <c r="A39" s="63" t="s">
        <v>1584</v>
      </c>
      <c r="B39" s="32" t="s">
        <v>1534</v>
      </c>
      <c r="C39" s="29">
        <v>202606</v>
      </c>
      <c r="D39" s="29" t="s">
        <v>218</v>
      </c>
      <c r="E39" s="29">
        <v>2778</v>
      </c>
    </row>
    <row r="40" spans="1:5">
      <c r="A40" s="63" t="s">
        <v>1585</v>
      </c>
      <c r="B40" s="32" t="s">
        <v>1535</v>
      </c>
      <c r="C40" s="29">
        <v>202606</v>
      </c>
      <c r="D40" s="29" t="s">
        <v>219</v>
      </c>
      <c r="E40" s="29">
        <v>0</v>
      </c>
    </row>
    <row r="41" spans="1:5">
      <c r="A41" s="63" t="s">
        <v>1586</v>
      </c>
      <c r="B41" s="32" t="s">
        <v>1536</v>
      </c>
      <c r="C41" s="29">
        <v>202606</v>
      </c>
      <c r="D41" s="29" t="s">
        <v>228</v>
      </c>
      <c r="E41" s="29">
        <v>0</v>
      </c>
    </row>
    <row r="42" spans="1:5">
      <c r="A42" s="63" t="s">
        <v>1587</v>
      </c>
      <c r="B42" s="32" t="s">
        <v>1537</v>
      </c>
      <c r="C42" s="29">
        <v>202606</v>
      </c>
      <c r="D42" s="29" t="s">
        <v>245</v>
      </c>
      <c r="E42" s="29">
        <v>2959</v>
      </c>
    </row>
    <row r="43" spans="1:5">
      <c r="A43" s="63" t="s">
        <v>1588</v>
      </c>
      <c r="B43" s="32" t="s">
        <v>1538</v>
      </c>
      <c r="C43" s="29">
        <v>202606</v>
      </c>
      <c r="D43" s="29" t="s">
        <v>247</v>
      </c>
      <c r="E43" s="29">
        <v>2959</v>
      </c>
    </row>
    <row r="44" spans="1:5">
      <c r="A44" s="63" t="s">
        <v>1589</v>
      </c>
      <c r="B44" s="32" t="s">
        <v>1539</v>
      </c>
      <c r="C44" s="29">
        <v>202606</v>
      </c>
      <c r="D44" s="29" t="s">
        <v>252</v>
      </c>
      <c r="E44" s="29">
        <v>3054</v>
      </c>
    </row>
    <row r="45" spans="1:5">
      <c r="A45" s="63" t="s">
        <v>1590</v>
      </c>
      <c r="B45" s="32" t="s">
        <v>1540</v>
      </c>
      <c r="C45" s="29">
        <v>202606</v>
      </c>
      <c r="D45" s="29" t="s">
        <v>260</v>
      </c>
      <c r="E45" s="29">
        <v>0</v>
      </c>
    </row>
    <row r="46" spans="1:5">
      <c r="A46" s="63" t="s">
        <v>1591</v>
      </c>
      <c r="B46" s="32" t="s">
        <v>1541</v>
      </c>
      <c r="C46" s="29">
        <v>202606</v>
      </c>
      <c r="D46" s="29" t="s">
        <v>268</v>
      </c>
      <c r="E46" s="29">
        <v>0</v>
      </c>
    </row>
    <row r="47" spans="1:5">
      <c r="A47" s="63" t="s">
        <v>1592</v>
      </c>
      <c r="B47" s="32" t="s">
        <v>1542</v>
      </c>
      <c r="C47" s="29">
        <v>202606</v>
      </c>
      <c r="D47" s="29" t="s">
        <v>271</v>
      </c>
      <c r="E47" s="29">
        <v>0</v>
      </c>
    </row>
    <row r="48" spans="1:5">
      <c r="A48" s="63" t="s">
        <v>1593</v>
      </c>
      <c r="B48" s="32" t="s">
        <v>1543</v>
      </c>
      <c r="C48" s="29">
        <v>202606</v>
      </c>
      <c r="D48" s="29" t="s">
        <v>280</v>
      </c>
      <c r="E48" s="29">
        <v>1783</v>
      </c>
    </row>
    <row r="49" spans="1:5">
      <c r="A49" s="63" t="s">
        <v>1594</v>
      </c>
      <c r="B49" s="32" t="s">
        <v>1544</v>
      </c>
      <c r="C49" s="29">
        <v>202606</v>
      </c>
      <c r="D49" s="29" t="s">
        <v>294</v>
      </c>
      <c r="E49" s="29">
        <v>1756</v>
      </c>
    </row>
    <row r="50" spans="1:5">
      <c r="A50" s="63" t="s">
        <v>1595</v>
      </c>
      <c r="B50" s="32" t="s">
        <v>1545</v>
      </c>
      <c r="C50" s="29">
        <v>202606</v>
      </c>
      <c r="D50" s="29" t="s">
        <v>823</v>
      </c>
      <c r="E50" s="29">
        <v>2185</v>
      </c>
    </row>
    <row r="51" spans="1:5">
      <c r="A51" s="63" t="s">
        <v>1596</v>
      </c>
      <c r="B51" s="32" t="s">
        <v>1546</v>
      </c>
      <c r="C51" s="29">
        <v>202606</v>
      </c>
      <c r="D51" s="29" t="s">
        <v>315</v>
      </c>
      <c r="E51" s="29">
        <v>1885</v>
      </c>
    </row>
    <row r="52" spans="1:5">
      <c r="A52" s="63" t="s">
        <v>1597</v>
      </c>
      <c r="B52" s="32" t="s">
        <v>1547</v>
      </c>
      <c r="C52" s="29">
        <v>202606</v>
      </c>
      <c r="D52" s="29" t="s">
        <v>325</v>
      </c>
      <c r="E52" s="29">
        <v>0</v>
      </c>
    </row>
    <row r="53" spans="1:5">
      <c r="A53" s="63" t="s">
        <v>1598</v>
      </c>
      <c r="B53" s="32" t="s">
        <v>1548</v>
      </c>
      <c r="C53" s="29">
        <v>202606</v>
      </c>
      <c r="D53" s="29" t="s">
        <v>331</v>
      </c>
      <c r="E53" s="29">
        <v>0</v>
      </c>
    </row>
    <row r="56" spans="1:5">
      <c r="A56" s="29" t="s">
        <v>735</v>
      </c>
      <c r="B56" s="29">
        <f>COUNTA(B4:INDEX(B:B,ROW()-1))</f>
        <v>50</v>
      </c>
      <c r="C56" s="29"/>
      <c r="D56" s="29" t="s">
        <v>736</v>
      </c>
      <c r="E56" s="29">
        <f>SUM(E1:INDEX(E:E,ROW()-1))</f>
        <v>60763</v>
      </c>
    </row>
    <row r="59" spans="1:5">
      <c r="A59" t="s">
        <v>737</v>
      </c>
      <c r="B59" t="s">
        <v>346</v>
      </c>
    </row>
    <row r="60" spans="1:5">
      <c r="A60" t="s">
        <v>738</v>
      </c>
      <c r="B60" t="s">
        <v>353</v>
      </c>
    </row>
    <row r="61" spans="1:5">
      <c r="A61" t="s">
        <v>739</v>
      </c>
      <c r="B61">
        <v>20260515</v>
      </c>
    </row>
    <row r="62" spans="1:5">
      <c r="A62" t="s">
        <v>740</v>
      </c>
    </row>
  </sheetData>
  <sortState xmlns:xlrd2="http://schemas.microsoft.com/office/spreadsheetml/2017/richdata2" ref="A4:E53">
    <sortCondition ref="D4:D53"/>
  </sortState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D7884-2931-4A66-96D5-D156599A3C5B}">
  <sheetPr codeName="工作表14"/>
  <dimension ref="A1:F3"/>
  <sheetViews>
    <sheetView workbookViewId="0">
      <selection activeCell="C11" sqref="C11"/>
    </sheetView>
  </sheetViews>
  <sheetFormatPr defaultRowHeight="16.5"/>
  <cols>
    <col min="1" max="1" width="11.75" customWidth="1"/>
    <col min="3" max="3" width="12.5" customWidth="1"/>
    <col min="4" max="4" width="10" customWidth="1"/>
  </cols>
  <sheetData>
    <row r="1" spans="1:6" ht="18.75">
      <c r="A1" s="20" t="s">
        <v>769</v>
      </c>
      <c r="F1" t="s">
        <v>873</v>
      </c>
    </row>
    <row r="2" spans="1:6">
      <c r="F2" t="s">
        <v>774</v>
      </c>
    </row>
    <row r="3" spans="1:6">
      <c r="A3" t="s">
        <v>770</v>
      </c>
      <c r="B3" t="s">
        <v>771</v>
      </c>
      <c r="C3" t="s">
        <v>772</v>
      </c>
      <c r="D3" t="s">
        <v>773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returnTop">
                <anchor moveWithCells="1" sizeWithCells="1">
                  <from>
                    <xdr:col>2</xdr:col>
                    <xdr:colOff>495300</xdr:colOff>
                    <xdr:row>0</xdr:row>
                    <xdr:rowOff>57150</xdr:rowOff>
                  </from>
                  <to>
                    <xdr:col>4</xdr:col>
                    <xdr:colOff>438150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650C-D0B2-4926-8C1A-77D58CEC2620}">
  <sheetPr codeName="工作表18"/>
  <dimension ref="A1:U51"/>
  <sheetViews>
    <sheetView topLeftCell="B1" workbookViewId="0">
      <selection activeCell="B2" sqref="B2"/>
    </sheetView>
  </sheetViews>
  <sheetFormatPr defaultRowHeight="16.5"/>
  <cols>
    <col min="17" max="17" width="9.25" customWidth="1"/>
  </cols>
  <sheetData>
    <row r="1" spans="1:21" s="10" customFormat="1" ht="15.75">
      <c r="A1" s="10" t="s">
        <v>851</v>
      </c>
      <c r="B1" s="10" t="s">
        <v>866</v>
      </c>
      <c r="C1" s="24" t="s">
        <v>867</v>
      </c>
      <c r="D1" s="10" t="s">
        <v>852</v>
      </c>
      <c r="E1" s="10" t="s">
        <v>868</v>
      </c>
      <c r="F1" s="10" t="s">
        <v>853</v>
      </c>
      <c r="G1" s="10" t="s">
        <v>854</v>
      </c>
      <c r="H1" s="10" t="s">
        <v>855</v>
      </c>
      <c r="I1" s="10" t="s">
        <v>856</v>
      </c>
      <c r="J1" s="10" t="s">
        <v>869</v>
      </c>
      <c r="K1" s="10" t="s">
        <v>857</v>
      </c>
      <c r="L1" s="10" t="s">
        <v>870</v>
      </c>
      <c r="M1" s="10" t="s">
        <v>858</v>
      </c>
      <c r="N1" s="10" t="s">
        <v>859</v>
      </c>
      <c r="O1" s="10" t="s">
        <v>860</v>
      </c>
      <c r="P1" s="10" t="s">
        <v>861</v>
      </c>
      <c r="Q1" s="10" t="s">
        <v>862</v>
      </c>
      <c r="R1" s="10" t="s">
        <v>863</v>
      </c>
      <c r="S1" s="10" t="s">
        <v>864</v>
      </c>
      <c r="T1" s="10" t="s">
        <v>865</v>
      </c>
      <c r="U1" s="10" t="s">
        <v>882</v>
      </c>
    </row>
    <row r="2" spans="1:21">
      <c r="A2" t="s">
        <v>32</v>
      </c>
      <c r="B2" t="s">
        <v>1188</v>
      </c>
      <c r="C2" t="s">
        <v>1603</v>
      </c>
      <c r="D2">
        <v>0</v>
      </c>
      <c r="E2">
        <v>20260615</v>
      </c>
      <c r="F2">
        <v>202606</v>
      </c>
      <c r="G2" s="17" t="s">
        <v>1604</v>
      </c>
      <c r="H2">
        <v>0</v>
      </c>
      <c r="I2">
        <v>0</v>
      </c>
      <c r="J2">
        <v>0</v>
      </c>
      <c r="K2">
        <v>0</v>
      </c>
      <c r="L2">
        <v>0</v>
      </c>
      <c r="M2" t="s">
        <v>1599</v>
      </c>
      <c r="Q2" t="s">
        <v>1605</v>
      </c>
      <c r="R2" t="s">
        <v>32</v>
      </c>
      <c r="S2" t="s">
        <v>1605</v>
      </c>
      <c r="T2" t="s">
        <v>32</v>
      </c>
      <c r="U2" t="s">
        <v>1601</v>
      </c>
    </row>
    <row r="3" spans="1:21">
      <c r="A3" t="s">
        <v>33</v>
      </c>
      <c r="B3" t="s">
        <v>1189</v>
      </c>
      <c r="C3" t="s">
        <v>1606</v>
      </c>
      <c r="D3">
        <v>3841</v>
      </c>
      <c r="E3">
        <v>20260615</v>
      </c>
      <c r="F3">
        <v>202606</v>
      </c>
      <c r="G3" s="17" t="s">
        <v>1607</v>
      </c>
      <c r="H3">
        <v>3241</v>
      </c>
      <c r="I3">
        <v>600</v>
      </c>
      <c r="J3">
        <v>0</v>
      </c>
      <c r="K3">
        <v>0</v>
      </c>
      <c r="L3">
        <v>0</v>
      </c>
      <c r="M3" t="s">
        <v>1600</v>
      </c>
      <c r="Q3" t="s">
        <v>1605</v>
      </c>
      <c r="R3" t="s">
        <v>33</v>
      </c>
      <c r="S3" t="s">
        <v>1605</v>
      </c>
      <c r="T3" t="s">
        <v>33</v>
      </c>
      <c r="U3" t="s">
        <v>1601</v>
      </c>
    </row>
    <row r="4" spans="1:21">
      <c r="A4" t="s">
        <v>39</v>
      </c>
      <c r="B4" t="s">
        <v>1195</v>
      </c>
      <c r="C4" t="s">
        <v>1608</v>
      </c>
      <c r="D4">
        <v>0</v>
      </c>
      <c r="E4">
        <v>20260615</v>
      </c>
      <c r="F4">
        <v>202606</v>
      </c>
      <c r="G4" s="17" t="s">
        <v>1609</v>
      </c>
      <c r="H4">
        <v>0</v>
      </c>
      <c r="I4">
        <v>0</v>
      </c>
      <c r="J4">
        <v>0</v>
      </c>
      <c r="K4">
        <v>0</v>
      </c>
      <c r="L4">
        <v>0</v>
      </c>
      <c r="M4" t="s">
        <v>1599</v>
      </c>
      <c r="Q4" t="s">
        <v>1605</v>
      </c>
      <c r="R4" t="s">
        <v>39</v>
      </c>
      <c r="S4" t="s">
        <v>1605</v>
      </c>
      <c r="T4" t="s">
        <v>39</v>
      </c>
      <c r="U4" t="s">
        <v>1601</v>
      </c>
    </row>
    <row r="5" spans="1:21">
      <c r="A5" t="s">
        <v>44</v>
      </c>
      <c r="B5" t="s">
        <v>1201</v>
      </c>
      <c r="C5" t="s">
        <v>1610</v>
      </c>
      <c r="D5">
        <v>3487</v>
      </c>
      <c r="E5">
        <v>20260615</v>
      </c>
      <c r="F5">
        <v>202606</v>
      </c>
      <c r="G5" s="17" t="s">
        <v>1611</v>
      </c>
      <c r="H5">
        <v>3187</v>
      </c>
      <c r="I5">
        <v>300</v>
      </c>
      <c r="J5">
        <v>0</v>
      </c>
      <c r="K5">
        <v>0</v>
      </c>
      <c r="L5">
        <v>0</v>
      </c>
      <c r="M5" t="s">
        <v>1600</v>
      </c>
      <c r="Q5" t="s">
        <v>1605</v>
      </c>
      <c r="R5" t="s">
        <v>44</v>
      </c>
      <c r="S5" t="s">
        <v>1605</v>
      </c>
      <c r="T5" t="s">
        <v>44</v>
      </c>
      <c r="U5" t="s">
        <v>1601</v>
      </c>
    </row>
    <row r="6" spans="1:21">
      <c r="A6" t="s">
        <v>45</v>
      </c>
      <c r="B6" t="s">
        <v>1202</v>
      </c>
      <c r="C6" t="s">
        <v>1612</v>
      </c>
      <c r="D6">
        <v>3487</v>
      </c>
      <c r="E6">
        <v>20260615</v>
      </c>
      <c r="F6">
        <v>202606</v>
      </c>
      <c r="G6" s="17" t="s">
        <v>1613</v>
      </c>
      <c r="H6">
        <v>3187</v>
      </c>
      <c r="I6">
        <v>300</v>
      </c>
      <c r="J6">
        <v>0</v>
      </c>
      <c r="K6">
        <v>0</v>
      </c>
      <c r="L6">
        <v>0</v>
      </c>
      <c r="M6" t="s">
        <v>1600</v>
      </c>
      <c r="Q6" t="s">
        <v>1605</v>
      </c>
      <c r="R6" t="s">
        <v>45</v>
      </c>
      <c r="S6" t="s">
        <v>1605</v>
      </c>
      <c r="T6" t="s">
        <v>45</v>
      </c>
      <c r="U6" t="s">
        <v>1601</v>
      </c>
    </row>
    <row r="7" spans="1:21">
      <c r="A7" t="s">
        <v>48</v>
      </c>
      <c r="B7" t="s">
        <v>1205</v>
      </c>
      <c r="C7" t="s">
        <v>1614</v>
      </c>
      <c r="D7">
        <v>0</v>
      </c>
      <c r="E7">
        <v>20260615</v>
      </c>
      <c r="F7">
        <v>202606</v>
      </c>
      <c r="G7" s="17" t="s">
        <v>1615</v>
      </c>
      <c r="H7">
        <v>0</v>
      </c>
      <c r="I7">
        <v>0</v>
      </c>
      <c r="J7">
        <v>0</v>
      </c>
      <c r="K7">
        <v>0</v>
      </c>
      <c r="L7">
        <v>0</v>
      </c>
      <c r="M7" t="s">
        <v>1599</v>
      </c>
      <c r="Q7" t="s">
        <v>1605</v>
      </c>
      <c r="R7" t="s">
        <v>48</v>
      </c>
      <c r="S7" t="s">
        <v>1605</v>
      </c>
      <c r="T7" t="s">
        <v>48</v>
      </c>
      <c r="U7" t="s">
        <v>1601</v>
      </c>
    </row>
    <row r="8" spans="1:21">
      <c r="A8" t="s">
        <v>49</v>
      </c>
      <c r="B8" t="s">
        <v>1206</v>
      </c>
      <c r="C8" t="s">
        <v>1616</v>
      </c>
      <c r="D8">
        <v>3487</v>
      </c>
      <c r="E8">
        <v>20260615</v>
      </c>
      <c r="F8">
        <v>202606</v>
      </c>
      <c r="G8" s="17" t="s">
        <v>1617</v>
      </c>
      <c r="H8">
        <v>3187</v>
      </c>
      <c r="I8">
        <v>300</v>
      </c>
      <c r="J8">
        <v>0</v>
      </c>
      <c r="K8">
        <v>0</v>
      </c>
      <c r="L8">
        <v>0</v>
      </c>
      <c r="M8" t="s">
        <v>1600</v>
      </c>
      <c r="Q8" t="s">
        <v>1605</v>
      </c>
      <c r="R8" t="s">
        <v>49</v>
      </c>
      <c r="S8" t="s">
        <v>1605</v>
      </c>
      <c r="T8" t="s">
        <v>49</v>
      </c>
      <c r="U8" t="s">
        <v>1601</v>
      </c>
    </row>
    <row r="9" spans="1:21">
      <c r="A9" t="s">
        <v>50</v>
      </c>
      <c r="B9" t="s">
        <v>1207</v>
      </c>
      <c r="C9" t="s">
        <v>1618</v>
      </c>
      <c r="D9">
        <v>0</v>
      </c>
      <c r="E9">
        <v>20260615</v>
      </c>
      <c r="F9">
        <v>202606</v>
      </c>
      <c r="G9" s="17" t="s">
        <v>1619</v>
      </c>
      <c r="H9">
        <v>0</v>
      </c>
      <c r="I9">
        <v>0</v>
      </c>
      <c r="J9">
        <v>0</v>
      </c>
      <c r="K9">
        <v>0</v>
      </c>
      <c r="L9">
        <v>0</v>
      </c>
      <c r="M9" t="s">
        <v>1599</v>
      </c>
      <c r="Q9" t="s">
        <v>1605</v>
      </c>
      <c r="R9" t="s">
        <v>50</v>
      </c>
      <c r="S9" t="s">
        <v>1605</v>
      </c>
      <c r="T9" t="s">
        <v>50</v>
      </c>
      <c r="U9" t="s">
        <v>1601</v>
      </c>
    </row>
    <row r="10" spans="1:21">
      <c r="A10" t="s">
        <v>53</v>
      </c>
      <c r="B10" t="s">
        <v>1210</v>
      </c>
      <c r="C10" t="s">
        <v>1620</v>
      </c>
      <c r="D10">
        <v>0</v>
      </c>
      <c r="E10">
        <v>20260615</v>
      </c>
      <c r="F10">
        <v>202606</v>
      </c>
      <c r="G10" s="17" t="s">
        <v>1621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1599</v>
      </c>
      <c r="Q10" t="s">
        <v>1605</v>
      </c>
      <c r="R10" t="s">
        <v>53</v>
      </c>
      <c r="S10" t="s">
        <v>1605</v>
      </c>
      <c r="T10" t="s">
        <v>53</v>
      </c>
      <c r="U10" t="s">
        <v>1601</v>
      </c>
    </row>
    <row r="11" spans="1:21">
      <c r="A11" t="s">
        <v>829</v>
      </c>
      <c r="B11" t="s">
        <v>1213</v>
      </c>
      <c r="C11" t="s">
        <v>1622</v>
      </c>
      <c r="D11">
        <v>0</v>
      </c>
      <c r="E11">
        <v>20260615</v>
      </c>
      <c r="F11">
        <v>202606</v>
      </c>
      <c r="G11" s="17" t="s">
        <v>1623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1599</v>
      </c>
      <c r="Q11" t="s">
        <v>1605</v>
      </c>
      <c r="R11" t="s">
        <v>829</v>
      </c>
      <c r="S11" t="s">
        <v>1605</v>
      </c>
      <c r="T11" t="s">
        <v>829</v>
      </c>
      <c r="U11" t="s">
        <v>1601</v>
      </c>
    </row>
    <row r="12" spans="1:21">
      <c r="A12" t="s">
        <v>61</v>
      </c>
      <c r="B12" t="s">
        <v>1218</v>
      </c>
      <c r="C12" t="s">
        <v>1624</v>
      </c>
      <c r="D12">
        <v>0</v>
      </c>
      <c r="E12">
        <v>20260615</v>
      </c>
      <c r="F12">
        <v>202606</v>
      </c>
      <c r="G12" s="17" t="s">
        <v>1625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1599</v>
      </c>
      <c r="Q12" t="s">
        <v>1605</v>
      </c>
      <c r="R12" t="s">
        <v>61</v>
      </c>
      <c r="S12" t="s">
        <v>1605</v>
      </c>
      <c r="T12" t="s">
        <v>61</v>
      </c>
      <c r="U12" t="s">
        <v>1601</v>
      </c>
    </row>
    <row r="13" spans="1:21">
      <c r="A13" t="s">
        <v>63</v>
      </c>
      <c r="B13" t="s">
        <v>1220</v>
      </c>
      <c r="C13" t="s">
        <v>1626</v>
      </c>
      <c r="D13">
        <v>0</v>
      </c>
      <c r="E13">
        <v>20260615</v>
      </c>
      <c r="F13">
        <v>202606</v>
      </c>
      <c r="G13" s="17" t="s">
        <v>1627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1599</v>
      </c>
      <c r="Q13" t="s">
        <v>1605</v>
      </c>
      <c r="R13" t="s">
        <v>63</v>
      </c>
      <c r="S13" t="s">
        <v>1605</v>
      </c>
      <c r="T13" t="s">
        <v>63</v>
      </c>
      <c r="U13" t="s">
        <v>1601</v>
      </c>
    </row>
    <row r="14" spans="1:21">
      <c r="A14" t="s">
        <v>78</v>
      </c>
      <c r="B14" t="s">
        <v>1235</v>
      </c>
      <c r="C14" t="s">
        <v>1628</v>
      </c>
      <c r="D14">
        <v>0</v>
      </c>
      <c r="E14">
        <v>20260615</v>
      </c>
      <c r="F14">
        <v>202606</v>
      </c>
      <c r="G14" s="17" t="s">
        <v>1629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1599</v>
      </c>
      <c r="Q14" t="s">
        <v>1605</v>
      </c>
      <c r="R14" t="s">
        <v>78</v>
      </c>
      <c r="S14" t="s">
        <v>1605</v>
      </c>
      <c r="T14" t="s">
        <v>78</v>
      </c>
      <c r="U14" t="s">
        <v>1601</v>
      </c>
    </row>
    <row r="15" spans="1:21">
      <c r="A15" t="s">
        <v>79</v>
      </c>
      <c r="B15" t="s">
        <v>1236</v>
      </c>
      <c r="C15" t="s">
        <v>1630</v>
      </c>
      <c r="D15">
        <v>0</v>
      </c>
      <c r="E15">
        <v>20260615</v>
      </c>
      <c r="F15">
        <v>202606</v>
      </c>
      <c r="G15" s="17" t="s">
        <v>1631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1599</v>
      </c>
      <c r="Q15" t="s">
        <v>1605</v>
      </c>
      <c r="R15" t="s">
        <v>79</v>
      </c>
      <c r="S15" t="s">
        <v>1605</v>
      </c>
      <c r="T15" t="s">
        <v>79</v>
      </c>
      <c r="U15" t="s">
        <v>1601</v>
      </c>
    </row>
    <row r="16" spans="1:21">
      <c r="A16" t="s">
        <v>82</v>
      </c>
      <c r="B16" t="s">
        <v>1239</v>
      </c>
      <c r="C16" t="s">
        <v>1632</v>
      </c>
      <c r="D16">
        <v>0</v>
      </c>
      <c r="E16">
        <v>20260615</v>
      </c>
      <c r="F16">
        <v>202606</v>
      </c>
      <c r="G16" s="17" t="s">
        <v>1633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1599</v>
      </c>
      <c r="Q16" t="s">
        <v>1605</v>
      </c>
      <c r="R16" t="s">
        <v>82</v>
      </c>
      <c r="S16" t="s">
        <v>1605</v>
      </c>
      <c r="T16" t="s">
        <v>82</v>
      </c>
      <c r="U16" t="s">
        <v>1601</v>
      </c>
    </row>
    <row r="17" spans="1:21">
      <c r="A17" t="s">
        <v>86</v>
      </c>
      <c r="B17" t="s">
        <v>1244</v>
      </c>
      <c r="C17" t="s">
        <v>1634</v>
      </c>
      <c r="D17">
        <v>0</v>
      </c>
      <c r="E17">
        <v>20260615</v>
      </c>
      <c r="F17">
        <v>202606</v>
      </c>
      <c r="G17" s="17" t="s">
        <v>1635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1599</v>
      </c>
      <c r="Q17" t="s">
        <v>1605</v>
      </c>
      <c r="R17" t="s">
        <v>86</v>
      </c>
      <c r="S17" t="s">
        <v>1605</v>
      </c>
      <c r="T17" t="s">
        <v>86</v>
      </c>
      <c r="U17" t="s">
        <v>1601</v>
      </c>
    </row>
    <row r="18" spans="1:21">
      <c r="A18" t="s">
        <v>88</v>
      </c>
      <c r="B18" t="s">
        <v>1246</v>
      </c>
      <c r="C18" t="s">
        <v>1636</v>
      </c>
      <c r="D18">
        <v>3503</v>
      </c>
      <c r="E18">
        <v>20260615</v>
      </c>
      <c r="F18">
        <v>202606</v>
      </c>
      <c r="G18" s="17" t="s">
        <v>1637</v>
      </c>
      <c r="H18">
        <v>3203</v>
      </c>
      <c r="I18">
        <v>300</v>
      </c>
      <c r="J18">
        <v>0</v>
      </c>
      <c r="K18">
        <v>0</v>
      </c>
      <c r="L18">
        <v>0</v>
      </c>
      <c r="M18" t="s">
        <v>1600</v>
      </c>
      <c r="Q18" t="s">
        <v>1605</v>
      </c>
      <c r="R18" t="s">
        <v>88</v>
      </c>
      <c r="S18" t="s">
        <v>1605</v>
      </c>
      <c r="T18" t="s">
        <v>88</v>
      </c>
      <c r="U18" t="s">
        <v>1601</v>
      </c>
    </row>
    <row r="19" spans="1:21">
      <c r="A19" t="s">
        <v>93</v>
      </c>
      <c r="B19" t="s">
        <v>1251</v>
      </c>
      <c r="C19" t="s">
        <v>1638</v>
      </c>
      <c r="D19">
        <v>0</v>
      </c>
      <c r="E19">
        <v>20260615</v>
      </c>
      <c r="F19">
        <v>202606</v>
      </c>
      <c r="G19" s="17" t="s">
        <v>1639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1599</v>
      </c>
      <c r="Q19" t="s">
        <v>1605</v>
      </c>
      <c r="R19" t="s">
        <v>93</v>
      </c>
      <c r="S19" t="s">
        <v>1605</v>
      </c>
      <c r="T19" t="s">
        <v>93</v>
      </c>
      <c r="U19" t="s">
        <v>1601</v>
      </c>
    </row>
    <row r="20" spans="1:21">
      <c r="A20" t="s">
        <v>96</v>
      </c>
      <c r="B20" t="s">
        <v>1254</v>
      </c>
      <c r="C20" t="s">
        <v>1640</v>
      </c>
      <c r="D20">
        <v>3503</v>
      </c>
      <c r="E20">
        <v>20260615</v>
      </c>
      <c r="F20">
        <v>202606</v>
      </c>
      <c r="G20" s="17" t="s">
        <v>1641</v>
      </c>
      <c r="H20">
        <v>3203</v>
      </c>
      <c r="I20">
        <v>300</v>
      </c>
      <c r="J20">
        <v>0</v>
      </c>
      <c r="K20">
        <v>0</v>
      </c>
      <c r="L20">
        <v>0</v>
      </c>
      <c r="M20" t="s">
        <v>1600</v>
      </c>
      <c r="Q20" t="s">
        <v>1605</v>
      </c>
      <c r="R20" t="s">
        <v>96</v>
      </c>
      <c r="S20" t="s">
        <v>1605</v>
      </c>
      <c r="T20" t="s">
        <v>96</v>
      </c>
      <c r="U20" t="s">
        <v>1601</v>
      </c>
    </row>
    <row r="21" spans="1:21">
      <c r="A21" t="s">
        <v>105</v>
      </c>
      <c r="B21" t="s">
        <v>1264</v>
      </c>
      <c r="C21" t="s">
        <v>1642</v>
      </c>
      <c r="D21">
        <v>3095</v>
      </c>
      <c r="E21">
        <v>20260615</v>
      </c>
      <c r="F21">
        <v>202606</v>
      </c>
      <c r="G21" s="17" t="s">
        <v>1643</v>
      </c>
      <c r="H21">
        <v>2795</v>
      </c>
      <c r="I21">
        <v>300</v>
      </c>
      <c r="J21">
        <v>0</v>
      </c>
      <c r="K21">
        <v>0</v>
      </c>
      <c r="L21">
        <v>0</v>
      </c>
      <c r="M21" t="s">
        <v>1600</v>
      </c>
      <c r="Q21" t="s">
        <v>1605</v>
      </c>
      <c r="R21" t="s">
        <v>105</v>
      </c>
      <c r="S21" t="s">
        <v>1605</v>
      </c>
      <c r="T21" t="s">
        <v>105</v>
      </c>
      <c r="U21" t="s">
        <v>1602</v>
      </c>
    </row>
    <row r="22" spans="1:21">
      <c r="A22" t="s">
        <v>107</v>
      </c>
      <c r="B22" t="s">
        <v>1266</v>
      </c>
      <c r="C22" t="s">
        <v>1644</v>
      </c>
      <c r="D22">
        <v>3395</v>
      </c>
      <c r="E22">
        <v>20260615</v>
      </c>
      <c r="F22">
        <v>202606</v>
      </c>
      <c r="G22" s="17" t="s">
        <v>1645</v>
      </c>
      <c r="H22">
        <v>2795</v>
      </c>
      <c r="I22">
        <v>600</v>
      </c>
      <c r="J22">
        <v>0</v>
      </c>
      <c r="K22">
        <v>0</v>
      </c>
      <c r="L22">
        <v>0</v>
      </c>
      <c r="M22" t="s">
        <v>1600</v>
      </c>
      <c r="Q22" t="s">
        <v>1605</v>
      </c>
      <c r="R22" t="s">
        <v>107</v>
      </c>
      <c r="S22" t="s">
        <v>1605</v>
      </c>
      <c r="T22" t="s">
        <v>107</v>
      </c>
      <c r="U22" t="s">
        <v>1601</v>
      </c>
    </row>
    <row r="23" spans="1:21">
      <c r="A23" t="s">
        <v>110</v>
      </c>
      <c r="B23" t="s">
        <v>1269</v>
      </c>
      <c r="C23" t="s">
        <v>1646</v>
      </c>
      <c r="D23">
        <v>0</v>
      </c>
      <c r="E23">
        <v>20260615</v>
      </c>
      <c r="F23">
        <v>202606</v>
      </c>
      <c r="G23" s="17" t="s">
        <v>1647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1599</v>
      </c>
      <c r="Q23" t="s">
        <v>1605</v>
      </c>
      <c r="R23" t="s">
        <v>110</v>
      </c>
      <c r="S23" t="s">
        <v>1605</v>
      </c>
      <c r="T23" t="s">
        <v>110</v>
      </c>
      <c r="U23" t="s">
        <v>1601</v>
      </c>
    </row>
    <row r="24" spans="1:21">
      <c r="A24" t="s">
        <v>830</v>
      </c>
      <c r="B24" t="s">
        <v>1272</v>
      </c>
      <c r="C24" t="s">
        <v>1648</v>
      </c>
      <c r="D24">
        <v>2755</v>
      </c>
      <c r="E24">
        <v>20260615</v>
      </c>
      <c r="F24">
        <v>202606</v>
      </c>
      <c r="G24" s="17" t="s">
        <v>1649</v>
      </c>
      <c r="H24">
        <v>2455</v>
      </c>
      <c r="I24">
        <v>300</v>
      </c>
      <c r="J24">
        <v>0</v>
      </c>
      <c r="K24">
        <v>0</v>
      </c>
      <c r="L24">
        <v>0</v>
      </c>
      <c r="M24" t="s">
        <v>1600</v>
      </c>
      <c r="Q24" t="s">
        <v>1605</v>
      </c>
      <c r="R24" t="s">
        <v>830</v>
      </c>
      <c r="S24" t="s">
        <v>1605</v>
      </c>
      <c r="T24" t="s">
        <v>830</v>
      </c>
      <c r="U24" t="s">
        <v>1601</v>
      </c>
    </row>
    <row r="25" spans="1:21">
      <c r="A25" t="s">
        <v>118</v>
      </c>
      <c r="B25" t="s">
        <v>1277</v>
      </c>
      <c r="C25" t="s">
        <v>1650</v>
      </c>
      <c r="D25">
        <v>2755</v>
      </c>
      <c r="E25">
        <v>20260615</v>
      </c>
      <c r="F25">
        <v>202606</v>
      </c>
      <c r="G25" s="17" t="s">
        <v>1651</v>
      </c>
      <c r="H25">
        <v>2455</v>
      </c>
      <c r="I25">
        <v>300</v>
      </c>
      <c r="J25">
        <v>0</v>
      </c>
      <c r="K25">
        <v>0</v>
      </c>
      <c r="L25">
        <v>0</v>
      </c>
      <c r="M25" t="s">
        <v>1600</v>
      </c>
      <c r="Q25" t="s">
        <v>1605</v>
      </c>
      <c r="R25" t="s">
        <v>118</v>
      </c>
      <c r="S25" t="s">
        <v>1605</v>
      </c>
      <c r="T25" t="s">
        <v>118</v>
      </c>
      <c r="U25" t="s">
        <v>1601</v>
      </c>
    </row>
    <row r="26" spans="1:21">
      <c r="A26" t="s">
        <v>129</v>
      </c>
      <c r="B26" t="s">
        <v>1288</v>
      </c>
      <c r="C26" t="s">
        <v>1652</v>
      </c>
      <c r="D26">
        <v>0</v>
      </c>
      <c r="E26">
        <v>20260615</v>
      </c>
      <c r="F26">
        <v>202606</v>
      </c>
      <c r="G26" s="17" t="s">
        <v>1653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1599</v>
      </c>
      <c r="Q26" t="s">
        <v>1605</v>
      </c>
      <c r="R26" t="s">
        <v>129</v>
      </c>
      <c r="S26" t="s">
        <v>1605</v>
      </c>
      <c r="T26" t="s">
        <v>129</v>
      </c>
      <c r="U26" t="s">
        <v>1601</v>
      </c>
    </row>
    <row r="27" spans="1:21">
      <c r="A27" t="s">
        <v>132</v>
      </c>
      <c r="B27" t="s">
        <v>1291</v>
      </c>
      <c r="C27" t="s">
        <v>1654</v>
      </c>
      <c r="D27">
        <v>2659</v>
      </c>
      <c r="E27">
        <v>20260615</v>
      </c>
      <c r="F27">
        <v>202606</v>
      </c>
      <c r="G27" s="17" t="s">
        <v>1655</v>
      </c>
      <c r="H27">
        <v>2359</v>
      </c>
      <c r="I27">
        <v>300</v>
      </c>
      <c r="J27">
        <v>0</v>
      </c>
      <c r="K27">
        <v>0</v>
      </c>
      <c r="L27">
        <v>0</v>
      </c>
      <c r="M27" t="s">
        <v>1600</v>
      </c>
      <c r="Q27" t="s">
        <v>1605</v>
      </c>
      <c r="R27" t="s">
        <v>132</v>
      </c>
      <c r="S27" t="s">
        <v>1605</v>
      </c>
      <c r="T27" t="s">
        <v>132</v>
      </c>
      <c r="U27" t="s">
        <v>1601</v>
      </c>
    </row>
    <row r="28" spans="1:21">
      <c r="A28" t="s">
        <v>138</v>
      </c>
      <c r="B28" t="s">
        <v>1297</v>
      </c>
      <c r="C28" t="s">
        <v>1656</v>
      </c>
      <c r="D28">
        <v>2659</v>
      </c>
      <c r="E28">
        <v>20260615</v>
      </c>
      <c r="F28">
        <v>202606</v>
      </c>
      <c r="G28" s="17" t="s">
        <v>1657</v>
      </c>
      <c r="H28">
        <v>2359</v>
      </c>
      <c r="I28">
        <v>300</v>
      </c>
      <c r="J28">
        <v>0</v>
      </c>
      <c r="K28">
        <v>0</v>
      </c>
      <c r="L28">
        <v>0</v>
      </c>
      <c r="M28" t="s">
        <v>1600</v>
      </c>
      <c r="Q28" t="s">
        <v>1605</v>
      </c>
      <c r="R28" t="s">
        <v>138</v>
      </c>
      <c r="S28" t="s">
        <v>1605</v>
      </c>
      <c r="T28" t="s">
        <v>138</v>
      </c>
      <c r="U28" t="s">
        <v>1601</v>
      </c>
    </row>
    <row r="29" spans="1:21">
      <c r="A29" t="s">
        <v>147</v>
      </c>
      <c r="B29" t="s">
        <v>1307</v>
      </c>
      <c r="C29" t="s">
        <v>1658</v>
      </c>
      <c r="D29">
        <v>0</v>
      </c>
      <c r="E29">
        <v>20260615</v>
      </c>
      <c r="F29">
        <v>202606</v>
      </c>
      <c r="G29" s="17" t="s">
        <v>1659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1599</v>
      </c>
      <c r="Q29" t="s">
        <v>1605</v>
      </c>
      <c r="R29" t="s">
        <v>147</v>
      </c>
      <c r="S29" t="s">
        <v>1605</v>
      </c>
      <c r="T29" t="s">
        <v>147</v>
      </c>
      <c r="U29" t="s">
        <v>1601</v>
      </c>
    </row>
    <row r="30" spans="1:21">
      <c r="A30" t="s">
        <v>149</v>
      </c>
      <c r="B30" t="s">
        <v>1309</v>
      </c>
      <c r="C30" t="s">
        <v>1660</v>
      </c>
      <c r="D30">
        <v>0</v>
      </c>
      <c r="E30">
        <v>20260615</v>
      </c>
      <c r="F30">
        <v>202606</v>
      </c>
      <c r="G30" s="17" t="s">
        <v>1661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1599</v>
      </c>
      <c r="Q30" t="s">
        <v>1605</v>
      </c>
      <c r="R30" t="s">
        <v>149</v>
      </c>
      <c r="S30" t="s">
        <v>1605</v>
      </c>
      <c r="T30" t="s">
        <v>149</v>
      </c>
      <c r="U30" t="s">
        <v>1601</v>
      </c>
    </row>
    <row r="31" spans="1:21">
      <c r="A31" t="s">
        <v>158</v>
      </c>
      <c r="B31" t="s">
        <v>1319</v>
      </c>
      <c r="C31" t="s">
        <v>1662</v>
      </c>
      <c r="D31">
        <v>0</v>
      </c>
      <c r="E31">
        <v>20260615</v>
      </c>
      <c r="F31">
        <v>202606</v>
      </c>
      <c r="G31" s="17" t="s">
        <v>1663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1599</v>
      </c>
      <c r="Q31" t="s">
        <v>1605</v>
      </c>
      <c r="R31" t="s">
        <v>158</v>
      </c>
      <c r="S31" t="s">
        <v>1605</v>
      </c>
      <c r="T31" t="s">
        <v>158</v>
      </c>
      <c r="U31" t="s">
        <v>1601</v>
      </c>
    </row>
    <row r="32" spans="1:21">
      <c r="A32" t="s">
        <v>165</v>
      </c>
      <c r="B32" t="s">
        <v>1326</v>
      </c>
      <c r="C32" t="s">
        <v>1664</v>
      </c>
      <c r="D32">
        <v>0</v>
      </c>
      <c r="E32">
        <v>20260615</v>
      </c>
      <c r="F32">
        <v>202606</v>
      </c>
      <c r="G32" s="17" t="s">
        <v>1665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1599</v>
      </c>
      <c r="Q32" t="s">
        <v>1605</v>
      </c>
      <c r="R32" t="s">
        <v>165</v>
      </c>
      <c r="S32" t="s">
        <v>1605</v>
      </c>
      <c r="T32" t="s">
        <v>165</v>
      </c>
      <c r="U32" t="s">
        <v>1601</v>
      </c>
    </row>
    <row r="33" spans="1:21">
      <c r="A33" t="s">
        <v>190</v>
      </c>
      <c r="B33" t="s">
        <v>1351</v>
      </c>
      <c r="C33" t="s">
        <v>1666</v>
      </c>
      <c r="D33">
        <v>0</v>
      </c>
      <c r="E33">
        <v>20260615</v>
      </c>
      <c r="F33">
        <v>202606</v>
      </c>
      <c r="G33" s="17" t="s">
        <v>1667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1599</v>
      </c>
      <c r="Q33" t="s">
        <v>1605</v>
      </c>
      <c r="R33" t="s">
        <v>190</v>
      </c>
      <c r="S33" t="s">
        <v>1605</v>
      </c>
      <c r="T33" t="s">
        <v>190</v>
      </c>
      <c r="U33" t="s">
        <v>1601</v>
      </c>
    </row>
    <row r="34" spans="1:21">
      <c r="A34" t="s">
        <v>207</v>
      </c>
      <c r="B34" t="s">
        <v>1368</v>
      </c>
      <c r="C34" t="s">
        <v>1668</v>
      </c>
      <c r="D34">
        <v>0</v>
      </c>
      <c r="E34">
        <v>20260615</v>
      </c>
      <c r="F34">
        <v>202606</v>
      </c>
      <c r="G34" s="17" t="s">
        <v>1669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1599</v>
      </c>
      <c r="Q34" t="s">
        <v>1605</v>
      </c>
      <c r="R34" t="s">
        <v>207</v>
      </c>
      <c r="S34" t="s">
        <v>1605</v>
      </c>
      <c r="T34" t="s">
        <v>207</v>
      </c>
      <c r="U34" t="s">
        <v>1601</v>
      </c>
    </row>
    <row r="35" spans="1:21">
      <c r="A35" t="s">
        <v>810</v>
      </c>
      <c r="B35" t="s">
        <v>1372</v>
      </c>
      <c r="C35" t="s">
        <v>1670</v>
      </c>
      <c r="D35">
        <v>2778</v>
      </c>
      <c r="E35">
        <v>20260615</v>
      </c>
      <c r="F35">
        <v>202606</v>
      </c>
      <c r="G35" s="17" t="s">
        <v>1671</v>
      </c>
      <c r="H35">
        <v>2478</v>
      </c>
      <c r="I35">
        <v>300</v>
      </c>
      <c r="J35">
        <v>0</v>
      </c>
      <c r="K35">
        <v>0</v>
      </c>
      <c r="L35">
        <v>0</v>
      </c>
      <c r="M35" t="s">
        <v>1600</v>
      </c>
      <c r="Q35" t="s">
        <v>1605</v>
      </c>
      <c r="R35" t="s">
        <v>810</v>
      </c>
      <c r="S35" t="s">
        <v>1605</v>
      </c>
      <c r="T35" t="s">
        <v>810</v>
      </c>
      <c r="U35" t="s">
        <v>1601</v>
      </c>
    </row>
    <row r="36" spans="1:21">
      <c r="A36" t="s">
        <v>212</v>
      </c>
      <c r="B36" t="s">
        <v>1373</v>
      </c>
      <c r="C36" t="s">
        <v>1672</v>
      </c>
      <c r="D36">
        <v>0</v>
      </c>
      <c r="E36">
        <v>20260615</v>
      </c>
      <c r="F36">
        <v>202606</v>
      </c>
      <c r="G36" s="17" t="s">
        <v>1673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1599</v>
      </c>
      <c r="Q36" t="s">
        <v>1605</v>
      </c>
      <c r="R36" t="s">
        <v>212</v>
      </c>
      <c r="S36" t="s">
        <v>1605</v>
      </c>
      <c r="T36" t="s">
        <v>212</v>
      </c>
      <c r="U36" t="s">
        <v>1601</v>
      </c>
    </row>
    <row r="37" spans="1:21">
      <c r="A37" t="s">
        <v>218</v>
      </c>
      <c r="B37" t="s">
        <v>1379</v>
      </c>
      <c r="C37" t="s">
        <v>1674</v>
      </c>
      <c r="D37">
        <v>2778</v>
      </c>
      <c r="E37">
        <v>20260615</v>
      </c>
      <c r="F37">
        <v>202606</v>
      </c>
      <c r="G37" s="17" t="s">
        <v>1675</v>
      </c>
      <c r="H37">
        <v>2478</v>
      </c>
      <c r="I37">
        <v>300</v>
      </c>
      <c r="J37">
        <v>0</v>
      </c>
      <c r="K37">
        <v>0</v>
      </c>
      <c r="L37">
        <v>0</v>
      </c>
      <c r="M37" t="s">
        <v>1600</v>
      </c>
      <c r="Q37" t="s">
        <v>1605</v>
      </c>
      <c r="R37" t="s">
        <v>218</v>
      </c>
      <c r="S37" t="s">
        <v>1605</v>
      </c>
      <c r="T37" t="s">
        <v>218</v>
      </c>
      <c r="U37" t="s">
        <v>1601</v>
      </c>
    </row>
    <row r="38" spans="1:21">
      <c r="A38" t="s">
        <v>219</v>
      </c>
      <c r="B38" t="s">
        <v>1380</v>
      </c>
      <c r="C38" t="s">
        <v>1676</v>
      </c>
      <c r="D38">
        <v>0</v>
      </c>
      <c r="E38">
        <v>20260615</v>
      </c>
      <c r="F38">
        <v>202606</v>
      </c>
      <c r="G38" s="17" t="s">
        <v>1677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1599</v>
      </c>
      <c r="Q38" t="s">
        <v>1605</v>
      </c>
      <c r="R38" t="s">
        <v>219</v>
      </c>
      <c r="S38" t="s">
        <v>1605</v>
      </c>
      <c r="T38" t="s">
        <v>219</v>
      </c>
      <c r="U38" t="s">
        <v>1601</v>
      </c>
    </row>
    <row r="39" spans="1:21">
      <c r="A39" t="s">
        <v>228</v>
      </c>
      <c r="B39" t="s">
        <v>1390</v>
      </c>
      <c r="C39" t="s">
        <v>1678</v>
      </c>
      <c r="D39">
        <v>0</v>
      </c>
      <c r="E39">
        <v>20260615</v>
      </c>
      <c r="F39">
        <v>202606</v>
      </c>
      <c r="G39" s="17" t="s">
        <v>1679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1599</v>
      </c>
      <c r="Q39" t="s">
        <v>1605</v>
      </c>
      <c r="R39" t="s">
        <v>228</v>
      </c>
      <c r="S39" t="s">
        <v>1605</v>
      </c>
      <c r="T39" t="s">
        <v>228</v>
      </c>
      <c r="U39" t="s">
        <v>1601</v>
      </c>
    </row>
    <row r="40" spans="1:21">
      <c r="A40" t="s">
        <v>245</v>
      </c>
      <c r="B40" t="s">
        <v>1408</v>
      </c>
      <c r="C40" t="s">
        <v>1680</v>
      </c>
      <c r="D40">
        <v>2959</v>
      </c>
      <c r="E40">
        <v>20260615</v>
      </c>
      <c r="F40">
        <v>202606</v>
      </c>
      <c r="G40" s="17" t="s">
        <v>1681</v>
      </c>
      <c r="H40">
        <v>2659</v>
      </c>
      <c r="I40">
        <v>300</v>
      </c>
      <c r="J40">
        <v>0</v>
      </c>
      <c r="K40">
        <v>0</v>
      </c>
      <c r="L40">
        <v>0</v>
      </c>
      <c r="M40" t="s">
        <v>1600</v>
      </c>
      <c r="Q40" t="s">
        <v>1605</v>
      </c>
      <c r="R40" t="s">
        <v>245</v>
      </c>
      <c r="S40" t="s">
        <v>1605</v>
      </c>
      <c r="T40" t="s">
        <v>245</v>
      </c>
      <c r="U40" t="s">
        <v>1601</v>
      </c>
    </row>
    <row r="41" spans="1:21">
      <c r="A41" t="s">
        <v>247</v>
      </c>
      <c r="B41" t="s">
        <v>1410</v>
      </c>
      <c r="C41" t="s">
        <v>1682</v>
      </c>
      <c r="D41">
        <v>2959</v>
      </c>
      <c r="E41">
        <v>20260615</v>
      </c>
      <c r="F41">
        <v>202606</v>
      </c>
      <c r="G41" s="17" t="s">
        <v>1683</v>
      </c>
      <c r="H41">
        <v>2659</v>
      </c>
      <c r="I41">
        <v>300</v>
      </c>
      <c r="J41">
        <v>0</v>
      </c>
      <c r="K41">
        <v>0</v>
      </c>
      <c r="L41">
        <v>0</v>
      </c>
      <c r="M41" t="s">
        <v>1600</v>
      </c>
      <c r="Q41" t="s">
        <v>1605</v>
      </c>
      <c r="R41" t="s">
        <v>247</v>
      </c>
      <c r="S41" t="s">
        <v>1605</v>
      </c>
      <c r="T41" t="s">
        <v>247</v>
      </c>
      <c r="U41" t="s">
        <v>1601</v>
      </c>
    </row>
    <row r="42" spans="1:21">
      <c r="A42" t="s">
        <v>252</v>
      </c>
      <c r="B42" t="s">
        <v>1415</v>
      </c>
      <c r="C42" t="s">
        <v>1684</v>
      </c>
      <c r="D42">
        <v>3054</v>
      </c>
      <c r="E42">
        <v>20260615</v>
      </c>
      <c r="F42">
        <v>202606</v>
      </c>
      <c r="G42" s="17" t="s">
        <v>1685</v>
      </c>
      <c r="H42">
        <v>2754</v>
      </c>
      <c r="I42">
        <v>300</v>
      </c>
      <c r="J42">
        <v>0</v>
      </c>
      <c r="K42">
        <v>0</v>
      </c>
      <c r="L42">
        <v>0</v>
      </c>
      <c r="M42" t="s">
        <v>1600</v>
      </c>
      <c r="Q42" t="s">
        <v>1605</v>
      </c>
      <c r="R42" t="s">
        <v>252</v>
      </c>
      <c r="S42" t="s">
        <v>1605</v>
      </c>
      <c r="T42" t="s">
        <v>252</v>
      </c>
      <c r="U42" t="s">
        <v>1601</v>
      </c>
    </row>
    <row r="43" spans="1:21">
      <c r="A43" t="s">
        <v>260</v>
      </c>
      <c r="B43" t="s">
        <v>1423</v>
      </c>
      <c r="C43" t="s">
        <v>1686</v>
      </c>
      <c r="D43">
        <v>0</v>
      </c>
      <c r="E43">
        <v>20260615</v>
      </c>
      <c r="F43">
        <v>202606</v>
      </c>
      <c r="G43" s="17" t="s">
        <v>1687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1599</v>
      </c>
      <c r="Q43" t="s">
        <v>1605</v>
      </c>
      <c r="R43" t="s">
        <v>260</v>
      </c>
      <c r="S43" t="s">
        <v>1605</v>
      </c>
      <c r="T43" t="s">
        <v>260</v>
      </c>
      <c r="U43" t="s">
        <v>1601</v>
      </c>
    </row>
    <row r="44" spans="1:21">
      <c r="A44" t="s">
        <v>268</v>
      </c>
      <c r="B44" t="s">
        <v>1431</v>
      </c>
      <c r="C44" t="s">
        <v>1688</v>
      </c>
      <c r="D44">
        <v>0</v>
      </c>
      <c r="E44">
        <v>20260615</v>
      </c>
      <c r="F44">
        <v>202606</v>
      </c>
      <c r="G44" s="17" t="s">
        <v>1689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1599</v>
      </c>
      <c r="Q44" t="s">
        <v>1605</v>
      </c>
      <c r="R44" t="s">
        <v>268</v>
      </c>
      <c r="S44" t="s">
        <v>1605</v>
      </c>
      <c r="T44" t="s">
        <v>268</v>
      </c>
      <c r="U44" t="s">
        <v>1601</v>
      </c>
    </row>
    <row r="45" spans="1:21">
      <c r="A45" t="s">
        <v>271</v>
      </c>
      <c r="B45" t="s">
        <v>1434</v>
      </c>
      <c r="C45" t="s">
        <v>1690</v>
      </c>
      <c r="D45">
        <v>0</v>
      </c>
      <c r="E45">
        <v>20260615</v>
      </c>
      <c r="F45">
        <v>202606</v>
      </c>
      <c r="G45" s="17" t="s">
        <v>1691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1599</v>
      </c>
      <c r="Q45" t="s">
        <v>1605</v>
      </c>
      <c r="R45" t="s">
        <v>271</v>
      </c>
      <c r="S45" t="s">
        <v>1605</v>
      </c>
      <c r="T45" t="s">
        <v>271</v>
      </c>
      <c r="U45" t="s">
        <v>1601</v>
      </c>
    </row>
    <row r="46" spans="1:21">
      <c r="A46" t="s">
        <v>280</v>
      </c>
      <c r="B46" t="s">
        <v>1443</v>
      </c>
      <c r="C46" t="s">
        <v>1692</v>
      </c>
      <c r="D46">
        <v>1783</v>
      </c>
      <c r="E46">
        <v>20260615</v>
      </c>
      <c r="F46">
        <v>202606</v>
      </c>
      <c r="G46" s="17" t="s">
        <v>1693</v>
      </c>
      <c r="H46">
        <v>1783</v>
      </c>
      <c r="I46">
        <v>0</v>
      </c>
      <c r="J46">
        <v>0</v>
      </c>
      <c r="K46">
        <v>0</v>
      </c>
      <c r="L46">
        <v>0</v>
      </c>
      <c r="M46" t="s">
        <v>1600</v>
      </c>
      <c r="Q46" t="s">
        <v>1605</v>
      </c>
      <c r="R46" t="s">
        <v>280</v>
      </c>
      <c r="S46" t="s">
        <v>1605</v>
      </c>
      <c r="T46" t="s">
        <v>280</v>
      </c>
      <c r="U46" t="s">
        <v>1601</v>
      </c>
    </row>
    <row r="47" spans="1:21">
      <c r="A47" t="s">
        <v>294</v>
      </c>
      <c r="B47" t="s">
        <v>1457</v>
      </c>
      <c r="C47" t="s">
        <v>1694</v>
      </c>
      <c r="D47">
        <v>1756</v>
      </c>
      <c r="E47">
        <v>20260615</v>
      </c>
      <c r="F47">
        <v>202606</v>
      </c>
      <c r="G47" s="17" t="s">
        <v>1695</v>
      </c>
      <c r="H47">
        <v>1756</v>
      </c>
      <c r="I47">
        <v>0</v>
      </c>
      <c r="J47">
        <v>0</v>
      </c>
      <c r="K47">
        <v>0</v>
      </c>
      <c r="L47">
        <v>0</v>
      </c>
      <c r="M47" t="s">
        <v>1600</v>
      </c>
      <c r="Q47" t="s">
        <v>1605</v>
      </c>
      <c r="R47" t="s">
        <v>294</v>
      </c>
      <c r="S47" t="s">
        <v>1605</v>
      </c>
      <c r="T47" t="s">
        <v>294</v>
      </c>
      <c r="U47" t="s">
        <v>1601</v>
      </c>
    </row>
    <row r="48" spans="1:21">
      <c r="A48" t="s">
        <v>823</v>
      </c>
      <c r="B48" t="s">
        <v>1468</v>
      </c>
      <c r="C48" t="s">
        <v>1696</v>
      </c>
      <c r="D48">
        <v>2185</v>
      </c>
      <c r="E48">
        <v>20260615</v>
      </c>
      <c r="F48">
        <v>202606</v>
      </c>
      <c r="G48" s="17" t="s">
        <v>1697</v>
      </c>
      <c r="H48">
        <v>1885</v>
      </c>
      <c r="I48">
        <v>300</v>
      </c>
      <c r="J48">
        <v>0</v>
      </c>
      <c r="K48">
        <v>0</v>
      </c>
      <c r="L48">
        <v>0</v>
      </c>
      <c r="M48" t="s">
        <v>1600</v>
      </c>
      <c r="Q48" t="s">
        <v>1605</v>
      </c>
      <c r="R48" t="s">
        <v>823</v>
      </c>
      <c r="S48" t="s">
        <v>1605</v>
      </c>
      <c r="T48" t="s">
        <v>823</v>
      </c>
      <c r="U48" t="s">
        <v>1601</v>
      </c>
    </row>
    <row r="49" spans="1:21">
      <c r="A49" t="s">
        <v>315</v>
      </c>
      <c r="B49" t="s">
        <v>1478</v>
      </c>
      <c r="C49" t="s">
        <v>1698</v>
      </c>
      <c r="D49">
        <v>1885</v>
      </c>
      <c r="E49">
        <v>20260615</v>
      </c>
      <c r="F49">
        <v>202606</v>
      </c>
      <c r="G49" s="17" t="s">
        <v>1699</v>
      </c>
      <c r="H49">
        <v>1885</v>
      </c>
      <c r="I49">
        <v>0</v>
      </c>
      <c r="J49">
        <v>0</v>
      </c>
      <c r="K49">
        <v>0</v>
      </c>
      <c r="L49">
        <v>0</v>
      </c>
      <c r="M49" t="s">
        <v>1600</v>
      </c>
      <c r="Q49" t="s">
        <v>1605</v>
      </c>
      <c r="R49" t="s">
        <v>315</v>
      </c>
      <c r="S49" t="s">
        <v>1605</v>
      </c>
      <c r="T49" t="s">
        <v>315</v>
      </c>
      <c r="U49" t="s">
        <v>1601</v>
      </c>
    </row>
    <row r="50" spans="1:21">
      <c r="A50" t="s">
        <v>325</v>
      </c>
      <c r="B50" t="s">
        <v>1488</v>
      </c>
      <c r="C50" t="s">
        <v>1700</v>
      </c>
      <c r="D50">
        <v>0</v>
      </c>
      <c r="E50">
        <v>20260615</v>
      </c>
      <c r="F50">
        <v>202606</v>
      </c>
      <c r="G50" s="17" t="s">
        <v>1701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1599</v>
      </c>
      <c r="Q50" t="s">
        <v>1605</v>
      </c>
      <c r="R50" t="s">
        <v>325</v>
      </c>
      <c r="S50" t="s">
        <v>1605</v>
      </c>
      <c r="T50" t="s">
        <v>325</v>
      </c>
      <c r="U50" t="s">
        <v>1601</v>
      </c>
    </row>
    <row r="51" spans="1:21">
      <c r="A51" t="s">
        <v>331</v>
      </c>
      <c r="B51" t="s">
        <v>1494</v>
      </c>
      <c r="C51" t="s">
        <v>1702</v>
      </c>
      <c r="D51">
        <v>0</v>
      </c>
      <c r="E51">
        <v>20260615</v>
      </c>
      <c r="F51">
        <v>202606</v>
      </c>
      <c r="G51" s="17" t="s">
        <v>1703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1599</v>
      </c>
      <c r="Q51" t="s">
        <v>1605</v>
      </c>
      <c r="R51" t="s">
        <v>331</v>
      </c>
      <c r="S51" t="s">
        <v>1605</v>
      </c>
      <c r="T51" t="s">
        <v>331</v>
      </c>
      <c r="U51" t="s">
        <v>1601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AF8D4-6E10-475A-8076-E32F6046FD9D}">
  <sheetPr codeName="工作表25"/>
  <dimension ref="A1:F5"/>
  <sheetViews>
    <sheetView workbookViewId="0">
      <selection activeCell="B16" sqref="B16"/>
    </sheetView>
  </sheetViews>
  <sheetFormatPr defaultRowHeight="16.5"/>
  <cols>
    <col min="1" max="1" width="10.75" customWidth="1"/>
    <col min="2" max="2" width="36.25" customWidth="1"/>
    <col min="3" max="3" width="28.375" customWidth="1"/>
    <col min="4" max="4" width="59.125" customWidth="1"/>
    <col min="5" max="5" width="64" customWidth="1"/>
  </cols>
  <sheetData>
    <row r="1" spans="1:6" ht="18.75">
      <c r="A1" s="21" t="s">
        <v>831</v>
      </c>
    </row>
    <row r="3" spans="1:6" s="10" customFormat="1" ht="15.75">
      <c r="A3" s="10" t="s">
        <v>16</v>
      </c>
      <c r="B3" s="10" t="s">
        <v>832</v>
      </c>
      <c r="C3" s="10" t="s">
        <v>880</v>
      </c>
      <c r="D3" s="10" t="s">
        <v>833</v>
      </c>
      <c r="E3" s="10" t="s">
        <v>834</v>
      </c>
      <c r="F3" s="10" t="s">
        <v>872</v>
      </c>
    </row>
    <row r="4" spans="1:6" ht="16.5" customHeight="1" thickBot="1">
      <c r="A4" s="40" t="s">
        <v>734</v>
      </c>
      <c r="B4" s="42" t="str">
        <f ca="1">Email範本!$B$3 &amp; 基本資料!$B$27 &amp; Email範本!$B$4</f>
        <v>翡翠流域大樓202606期管理費通知</v>
      </c>
      <c r="C4" s="44" t="s">
        <v>835</v>
      </c>
      <c r="D4" s="43" t="str">
        <f ca="1">A4 &amp; Email範本!$B$5 &amp; CHAR(10) &amp; 基本資料!$B$27 &amp; Email範本!$B$6 &amp; CHAR(10) &amp; Email範本!$B$7 &amp; CHAR(10) &amp; Email範本!$B$8</f>
        <v>B0209的住戶您好:
202606期繳費單或通知書已隨附於信件中，敬請按時繳納。
祝您萬事如意!
翡翠流域大樓管理委員會</v>
      </c>
      <c r="E4" s="40" t="str">
        <f ca="1">LEFT(CELL("filename",$A$1),FIND("[",CELL("filename",$A$1))-1) &amp; "pdf\" &amp; A4 &amp; ".pdf"</f>
        <v>C:\Users\wkliu\Documents\第五屆管委會\管理費收繳\git-vba\pdf\B0209.pdf</v>
      </c>
      <c r="F4" s="40"/>
    </row>
    <row r="5" spans="1:6" ht="16.5" customHeight="1" thickBot="1">
      <c r="A5" s="41" t="s">
        <v>310</v>
      </c>
      <c r="B5" s="42" t="str">
        <f ca="1">Email範本!$B$3 &amp; 基本資料!$B$27 &amp; Email範本!$B$4</f>
        <v>翡翠流域大樓202606期管理費通知</v>
      </c>
      <c r="C5" s="41" t="s">
        <v>879</v>
      </c>
      <c r="D5" s="43" t="str">
        <f ca="1">A5 &amp; Email範本!$B$5 &amp; CHAR(10) &amp; 基本資料!$B$27 &amp; Email範本!$B$6 &amp; CHAR(10) &amp; Email範本!$B$7 &amp; CHAR(10) &amp; Email範本!$B$8</f>
        <v>H0307的住戶您好:
202606期繳費單或通知書已隨附於信件中，敬請按時繳納。
祝您萬事如意!
翡翠流域大樓管理委員會</v>
      </c>
      <c r="E5" s="40" t="str">
        <f t="shared" ref="E5" ca="1" si="0">LEFT(CELL("filename",$A$1),FIND("[",CELL("filename",$A$1))-1) &amp; "pdf\" &amp; A5 &amp; ".pdf"</f>
        <v>C:\Users\wkliu\Documents\第五屆管委會\管理費收繳\git-vba\pdf\H0307.pdf</v>
      </c>
      <c r="F5" s="40"/>
    </row>
  </sheetData>
  <phoneticPr fontId="2" type="noConversion"/>
  <hyperlinks>
    <hyperlink ref="C4" r:id="rId1" xr:uid="{6356352F-E3AC-4C76-A4B8-008BA3841688}"/>
  </hyperlinks>
  <pageMargins left="0.7" right="0.7" top="0.75" bottom="0.75" header="0.3" footer="0.3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9C71E-9035-437E-8513-463E860E2508}">
  <sheetPr codeName="工作表17"/>
  <dimension ref="A1:B8"/>
  <sheetViews>
    <sheetView workbookViewId="0">
      <selection activeCell="F6" sqref="F6"/>
    </sheetView>
  </sheetViews>
  <sheetFormatPr defaultRowHeight="16.5"/>
  <cols>
    <col min="2" max="2" width="22.25" customWidth="1"/>
  </cols>
  <sheetData>
    <row r="1" spans="1:2" ht="18.75">
      <c r="A1" s="21" t="s">
        <v>836</v>
      </c>
    </row>
    <row r="3" spans="1:2">
      <c r="A3" t="s">
        <v>837</v>
      </c>
      <c r="B3" t="s">
        <v>842</v>
      </c>
    </row>
    <row r="4" spans="1:2">
      <c r="A4" t="s">
        <v>838</v>
      </c>
      <c r="B4" t="s">
        <v>891</v>
      </c>
    </row>
    <row r="5" spans="1:2">
      <c r="A5" t="s">
        <v>839</v>
      </c>
      <c r="B5" t="s">
        <v>843</v>
      </c>
    </row>
    <row r="6" spans="1:2">
      <c r="A6" t="s">
        <v>840</v>
      </c>
      <c r="B6" t="s">
        <v>892</v>
      </c>
    </row>
    <row r="7" spans="1:2">
      <c r="A7" t="s">
        <v>841</v>
      </c>
      <c r="B7" t="s">
        <v>844</v>
      </c>
    </row>
    <row r="8" spans="1:2">
      <c r="A8" t="s">
        <v>845</v>
      </c>
      <c r="B8" t="s">
        <v>846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F7D1-F3A7-44BB-ADD8-CAB7A4F702A0}">
  <sheetPr codeName="工作表28"/>
  <dimension ref="A1:P316"/>
  <sheetViews>
    <sheetView workbookViewId="0">
      <pane ySplit="5280" topLeftCell="A309"/>
      <selection activeCell="H1" sqref="H1"/>
      <selection pane="bottomLeft" activeCell="C317" sqref="C317"/>
    </sheetView>
  </sheetViews>
  <sheetFormatPr defaultRowHeight="16.5"/>
  <cols>
    <col min="2" max="5" width="3.625" customWidth="1"/>
    <col min="7" max="7" width="3.625" customWidth="1"/>
    <col min="11" max="14" width="9" customWidth="1"/>
    <col min="16" max="16" width="9" customWidth="1"/>
  </cols>
  <sheetData>
    <row r="1" spans="1:16" ht="20.25">
      <c r="A1" s="1" t="s">
        <v>919</v>
      </c>
    </row>
    <row r="3" spans="1:16" ht="39.75">
      <c r="A3" s="2" t="s">
        <v>16</v>
      </c>
      <c r="B3" s="39" t="s">
        <v>24</v>
      </c>
      <c r="C3" s="39" t="s">
        <v>23</v>
      </c>
      <c r="D3" s="39" t="s">
        <v>920</v>
      </c>
      <c r="E3" s="39" t="s">
        <v>924</v>
      </c>
      <c r="F3" t="s">
        <v>921</v>
      </c>
      <c r="G3" s="39" t="s">
        <v>922</v>
      </c>
      <c r="H3" t="s">
        <v>923</v>
      </c>
      <c r="I3" t="s">
        <v>881</v>
      </c>
      <c r="J3" s="2"/>
      <c r="K3" s="39"/>
      <c r="L3" s="39"/>
      <c r="M3" s="39"/>
      <c r="N3" s="39"/>
      <c r="P3" s="39"/>
    </row>
    <row r="4" spans="1:16">
      <c r="A4" t="s">
        <v>11</v>
      </c>
      <c r="C4" t="s">
        <v>1171</v>
      </c>
      <c r="F4">
        <v>0</v>
      </c>
    </row>
    <row r="5" spans="1:16">
      <c r="A5" t="s">
        <v>28</v>
      </c>
      <c r="D5" t="s">
        <v>1171</v>
      </c>
      <c r="F5">
        <v>3541</v>
      </c>
    </row>
    <row r="6" spans="1:16">
      <c r="A6" t="s">
        <v>925</v>
      </c>
      <c r="B6" t="s">
        <v>1171</v>
      </c>
      <c r="F6">
        <v>0</v>
      </c>
    </row>
    <row r="7" spans="1:16">
      <c r="A7" t="s">
        <v>926</v>
      </c>
      <c r="C7" t="s">
        <v>1171</v>
      </c>
      <c r="F7">
        <v>0</v>
      </c>
    </row>
    <row r="8" spans="1:16">
      <c r="A8" t="s">
        <v>927</v>
      </c>
      <c r="C8" t="s">
        <v>1171</v>
      </c>
      <c r="F8">
        <v>0</v>
      </c>
    </row>
    <row r="9" spans="1:16">
      <c r="A9" t="s">
        <v>928</v>
      </c>
      <c r="B9" t="s">
        <v>1171</v>
      </c>
      <c r="E9" t="s">
        <v>1171</v>
      </c>
      <c r="F9">
        <v>0</v>
      </c>
    </row>
    <row r="10" spans="1:16">
      <c r="A10" t="s">
        <v>929</v>
      </c>
      <c r="D10" t="s">
        <v>1171</v>
      </c>
      <c r="E10" t="s">
        <v>1171</v>
      </c>
      <c r="F10">
        <v>3841</v>
      </c>
    </row>
    <row r="11" spans="1:16">
      <c r="A11" t="s">
        <v>930</v>
      </c>
      <c r="C11" t="s">
        <v>1171</v>
      </c>
      <c r="F11">
        <v>0</v>
      </c>
    </row>
    <row r="12" spans="1:16">
      <c r="A12" t="s">
        <v>931</v>
      </c>
      <c r="D12" t="s">
        <v>1171</v>
      </c>
      <c r="F12">
        <v>3541</v>
      </c>
    </row>
    <row r="13" spans="1:16">
      <c r="A13" t="s">
        <v>932</v>
      </c>
      <c r="C13" t="s">
        <v>1171</v>
      </c>
      <c r="F13">
        <v>0</v>
      </c>
    </row>
    <row r="14" spans="1:16">
      <c r="A14" t="s">
        <v>933</v>
      </c>
      <c r="D14" t="s">
        <v>1171</v>
      </c>
      <c r="F14">
        <v>3541</v>
      </c>
    </row>
    <row r="15" spans="1:16">
      <c r="A15" t="s">
        <v>934</v>
      </c>
      <c r="C15" t="s">
        <v>1171</v>
      </c>
      <c r="F15">
        <v>0</v>
      </c>
    </row>
    <row r="16" spans="1:16">
      <c r="A16" t="s">
        <v>935</v>
      </c>
      <c r="B16" t="s">
        <v>1171</v>
      </c>
      <c r="E16" t="s">
        <v>1171</v>
      </c>
      <c r="F16">
        <v>0</v>
      </c>
    </row>
    <row r="17" spans="1:6">
      <c r="A17" t="s">
        <v>936</v>
      </c>
      <c r="C17" t="s">
        <v>1171</v>
      </c>
      <c r="F17">
        <v>0</v>
      </c>
    </row>
    <row r="18" spans="1:6">
      <c r="A18" t="s">
        <v>937</v>
      </c>
      <c r="C18" t="s">
        <v>1171</v>
      </c>
      <c r="F18">
        <v>0</v>
      </c>
    </row>
    <row r="19" spans="1:6">
      <c r="A19" t="s">
        <v>5</v>
      </c>
      <c r="C19" t="s">
        <v>1171</v>
      </c>
      <c r="F19">
        <v>0</v>
      </c>
    </row>
    <row r="20" spans="1:6">
      <c r="A20" t="s">
        <v>42</v>
      </c>
      <c r="C20" t="s">
        <v>1171</v>
      </c>
      <c r="F20">
        <v>0</v>
      </c>
    </row>
    <row r="21" spans="1:6">
      <c r="A21" t="s">
        <v>938</v>
      </c>
      <c r="B21" t="s">
        <v>1171</v>
      </c>
      <c r="F21">
        <v>0</v>
      </c>
    </row>
    <row r="22" spans="1:6">
      <c r="A22" t="s">
        <v>939</v>
      </c>
      <c r="D22" t="s">
        <v>1171</v>
      </c>
      <c r="E22" t="s">
        <v>1171</v>
      </c>
      <c r="F22">
        <v>3487</v>
      </c>
    </row>
    <row r="23" spans="1:6">
      <c r="A23" t="s">
        <v>940</v>
      </c>
      <c r="D23" t="s">
        <v>1171</v>
      </c>
      <c r="E23" t="s">
        <v>1171</v>
      </c>
      <c r="F23">
        <v>3487</v>
      </c>
    </row>
    <row r="24" spans="1:6">
      <c r="A24" t="s">
        <v>941</v>
      </c>
      <c r="B24" t="s">
        <v>1171</v>
      </c>
      <c r="F24">
        <v>0</v>
      </c>
    </row>
    <row r="25" spans="1:6">
      <c r="A25" t="s">
        <v>942</v>
      </c>
      <c r="B25" t="s">
        <v>1171</v>
      </c>
      <c r="F25">
        <v>0</v>
      </c>
    </row>
    <row r="26" spans="1:6">
      <c r="A26" t="s">
        <v>943</v>
      </c>
      <c r="B26" t="s">
        <v>1171</v>
      </c>
      <c r="E26" t="s">
        <v>1171</v>
      </c>
      <c r="F26">
        <v>0</v>
      </c>
    </row>
    <row r="27" spans="1:6">
      <c r="A27" t="s">
        <v>916</v>
      </c>
      <c r="D27" t="s">
        <v>1171</v>
      </c>
      <c r="E27" t="s">
        <v>1171</v>
      </c>
      <c r="F27">
        <v>6974</v>
      </c>
    </row>
    <row r="28" spans="1:6">
      <c r="A28" t="s">
        <v>944</v>
      </c>
      <c r="B28" t="s">
        <v>1171</v>
      </c>
      <c r="E28" t="s">
        <v>1171</v>
      </c>
      <c r="F28">
        <v>0</v>
      </c>
    </row>
    <row r="29" spans="1:6">
      <c r="A29" t="s">
        <v>945</v>
      </c>
      <c r="C29" t="s">
        <v>1171</v>
      </c>
      <c r="F29">
        <v>0</v>
      </c>
    </row>
    <row r="30" spans="1:6">
      <c r="A30" t="s">
        <v>946</v>
      </c>
      <c r="C30" t="s">
        <v>1171</v>
      </c>
      <c r="F30">
        <v>0</v>
      </c>
    </row>
    <row r="31" spans="1:6">
      <c r="A31" t="s">
        <v>947</v>
      </c>
      <c r="C31" t="s">
        <v>1171</v>
      </c>
      <c r="E31" t="s">
        <v>1171</v>
      </c>
      <c r="F31">
        <v>0</v>
      </c>
    </row>
    <row r="32" spans="1:6">
      <c r="A32" t="s">
        <v>948</v>
      </c>
      <c r="C32" t="s">
        <v>1171</v>
      </c>
      <c r="F32">
        <v>0</v>
      </c>
    </row>
    <row r="33" spans="1:6">
      <c r="A33" t="s">
        <v>949</v>
      </c>
      <c r="B33" t="s">
        <v>1171</v>
      </c>
      <c r="F33">
        <v>0</v>
      </c>
    </row>
    <row r="34" spans="1:6">
      <c r="A34" t="s">
        <v>56</v>
      </c>
      <c r="B34" t="s">
        <v>1171</v>
      </c>
      <c r="E34" t="s">
        <v>1171</v>
      </c>
      <c r="F34">
        <v>0</v>
      </c>
    </row>
    <row r="35" spans="1:6">
      <c r="A35" t="s">
        <v>57</v>
      </c>
      <c r="D35" t="s">
        <v>1171</v>
      </c>
      <c r="F35">
        <v>2646</v>
      </c>
    </row>
    <row r="36" spans="1:6">
      <c r="A36" t="s">
        <v>950</v>
      </c>
      <c r="C36" t="s">
        <v>1171</v>
      </c>
      <c r="F36">
        <v>0</v>
      </c>
    </row>
    <row r="37" spans="1:6">
      <c r="A37" t="s">
        <v>893</v>
      </c>
      <c r="D37" t="s">
        <v>1171</v>
      </c>
      <c r="F37">
        <v>3246</v>
      </c>
    </row>
    <row r="38" spans="1:6">
      <c r="A38" t="s">
        <v>951</v>
      </c>
      <c r="D38" t="s">
        <v>1171</v>
      </c>
      <c r="F38">
        <v>2646</v>
      </c>
    </row>
    <row r="39" spans="1:6">
      <c r="A39" t="s">
        <v>952</v>
      </c>
      <c r="B39" t="s">
        <v>1171</v>
      </c>
      <c r="E39" t="s">
        <v>1171</v>
      </c>
      <c r="F39">
        <v>0</v>
      </c>
    </row>
    <row r="40" spans="1:6">
      <c r="A40" t="s">
        <v>953</v>
      </c>
      <c r="D40" t="s">
        <v>1171</v>
      </c>
      <c r="F40">
        <v>2646</v>
      </c>
    </row>
    <row r="41" spans="1:6">
      <c r="A41" t="s">
        <v>954</v>
      </c>
      <c r="B41" t="s">
        <v>1171</v>
      </c>
      <c r="E41" t="s">
        <v>1171</v>
      </c>
      <c r="F41">
        <v>0</v>
      </c>
    </row>
    <row r="42" spans="1:6">
      <c r="A42" t="s">
        <v>955</v>
      </c>
      <c r="B42" t="s">
        <v>1171</v>
      </c>
      <c r="F42">
        <v>0</v>
      </c>
    </row>
    <row r="43" spans="1:6">
      <c r="A43" t="s">
        <v>956</v>
      </c>
      <c r="D43" t="s">
        <v>1171</v>
      </c>
      <c r="F43">
        <v>2646</v>
      </c>
    </row>
    <row r="44" spans="1:6">
      <c r="A44" t="s">
        <v>957</v>
      </c>
      <c r="D44" t="s">
        <v>1171</v>
      </c>
      <c r="F44">
        <v>2646</v>
      </c>
    </row>
    <row r="45" spans="1:6">
      <c r="A45" t="s">
        <v>958</v>
      </c>
      <c r="D45" t="s">
        <v>1171</v>
      </c>
      <c r="F45">
        <v>2646</v>
      </c>
    </row>
    <row r="46" spans="1:6">
      <c r="A46" t="s">
        <v>959</v>
      </c>
      <c r="C46" t="s">
        <v>1171</v>
      </c>
      <c r="F46">
        <v>0</v>
      </c>
    </row>
    <row r="47" spans="1:6">
      <c r="A47" t="s">
        <v>960</v>
      </c>
      <c r="C47" t="s">
        <v>1171</v>
      </c>
      <c r="F47">
        <v>0</v>
      </c>
    </row>
    <row r="48" spans="1:6">
      <c r="A48" t="s">
        <v>70</v>
      </c>
      <c r="B48" t="s">
        <v>1171</v>
      </c>
      <c r="F48">
        <v>0</v>
      </c>
    </row>
    <row r="49" spans="1:6">
      <c r="A49" t="s">
        <v>71</v>
      </c>
      <c r="B49" t="s">
        <v>1171</v>
      </c>
      <c r="F49">
        <v>0</v>
      </c>
    </row>
    <row r="50" spans="1:6">
      <c r="A50" t="s">
        <v>961</v>
      </c>
      <c r="C50" t="s">
        <v>1171</v>
      </c>
      <c r="F50">
        <v>0</v>
      </c>
    </row>
    <row r="51" spans="1:6">
      <c r="A51" t="s">
        <v>962</v>
      </c>
      <c r="B51" t="s">
        <v>1171</v>
      </c>
      <c r="F51">
        <v>0</v>
      </c>
    </row>
    <row r="52" spans="1:6">
      <c r="A52" t="s">
        <v>963</v>
      </c>
      <c r="B52" t="s">
        <v>1171</v>
      </c>
      <c r="F52">
        <v>0</v>
      </c>
    </row>
    <row r="53" spans="1:6">
      <c r="A53" t="s">
        <v>964</v>
      </c>
      <c r="D53" t="s">
        <v>1171</v>
      </c>
      <c r="F53">
        <v>5298</v>
      </c>
    </row>
    <row r="54" spans="1:6">
      <c r="A54" t="s">
        <v>965</v>
      </c>
      <c r="D54" t="s">
        <v>1171</v>
      </c>
      <c r="F54">
        <v>2649</v>
      </c>
    </row>
    <row r="55" spans="1:6">
      <c r="A55" t="s">
        <v>966</v>
      </c>
      <c r="D55" t="s">
        <v>1171</v>
      </c>
      <c r="F55">
        <v>2649</v>
      </c>
    </row>
    <row r="56" spans="1:6">
      <c r="A56" t="s">
        <v>967</v>
      </c>
      <c r="B56" t="s">
        <v>1171</v>
      </c>
      <c r="E56" t="s">
        <v>1171</v>
      </c>
      <c r="F56">
        <v>0</v>
      </c>
    </row>
    <row r="57" spans="1:6">
      <c r="A57" t="s">
        <v>968</v>
      </c>
      <c r="B57" t="s">
        <v>1171</v>
      </c>
      <c r="E57" t="s">
        <v>1171</v>
      </c>
      <c r="F57">
        <v>0</v>
      </c>
    </row>
    <row r="58" spans="1:6">
      <c r="A58" t="s">
        <v>969</v>
      </c>
      <c r="C58" t="s">
        <v>1171</v>
      </c>
      <c r="F58">
        <v>0</v>
      </c>
    </row>
    <row r="59" spans="1:6">
      <c r="A59" t="s">
        <v>894</v>
      </c>
      <c r="D59" t="s">
        <v>1171</v>
      </c>
      <c r="F59">
        <v>2649</v>
      </c>
    </row>
    <row r="60" spans="1:6">
      <c r="A60" t="s">
        <v>970</v>
      </c>
      <c r="B60" t="s">
        <v>1171</v>
      </c>
      <c r="E60" t="s">
        <v>1171</v>
      </c>
      <c r="F60">
        <v>0</v>
      </c>
    </row>
    <row r="61" spans="1:6">
      <c r="A61" t="s">
        <v>971</v>
      </c>
      <c r="B61" t="s">
        <v>1171</v>
      </c>
      <c r="F61">
        <v>0</v>
      </c>
    </row>
    <row r="62" spans="1:6">
      <c r="A62" t="s">
        <v>84</v>
      </c>
      <c r="D62" t="s">
        <v>1171</v>
      </c>
      <c r="F62">
        <v>6086</v>
      </c>
    </row>
    <row r="63" spans="1:6">
      <c r="A63" t="s">
        <v>12</v>
      </c>
      <c r="D63" t="s">
        <v>1171</v>
      </c>
      <c r="F63">
        <v>3503</v>
      </c>
    </row>
    <row r="64" spans="1:6">
      <c r="A64" t="s">
        <v>972</v>
      </c>
      <c r="D64" t="s">
        <v>1171</v>
      </c>
      <c r="F64">
        <v>3503</v>
      </c>
    </row>
    <row r="65" spans="1:6">
      <c r="A65" t="s">
        <v>973</v>
      </c>
      <c r="B65" t="s">
        <v>1171</v>
      </c>
      <c r="E65" t="s">
        <v>1171</v>
      </c>
      <c r="F65">
        <v>0</v>
      </c>
    </row>
    <row r="66" spans="1:6">
      <c r="A66" t="s">
        <v>974</v>
      </c>
      <c r="D66" t="s">
        <v>1171</v>
      </c>
      <c r="F66">
        <v>3503</v>
      </c>
    </row>
    <row r="67" spans="1:6">
      <c r="A67" t="s">
        <v>975</v>
      </c>
      <c r="D67" t="s">
        <v>1171</v>
      </c>
      <c r="E67" t="s">
        <v>1171</v>
      </c>
      <c r="F67">
        <v>3503</v>
      </c>
    </row>
    <row r="68" spans="1:6">
      <c r="A68" t="s">
        <v>976</v>
      </c>
      <c r="D68" t="s">
        <v>1171</v>
      </c>
      <c r="F68">
        <v>7006</v>
      </c>
    </row>
    <row r="69" spans="1:6">
      <c r="A69" t="s">
        <v>977</v>
      </c>
      <c r="C69" t="s">
        <v>1171</v>
      </c>
      <c r="F69">
        <v>0</v>
      </c>
    </row>
    <row r="70" spans="1:6">
      <c r="A70" t="s">
        <v>978</v>
      </c>
      <c r="C70" t="s">
        <v>1171</v>
      </c>
      <c r="F70">
        <v>0</v>
      </c>
    </row>
    <row r="71" spans="1:6">
      <c r="A71" t="s">
        <v>979</v>
      </c>
      <c r="C71" t="s">
        <v>1171</v>
      </c>
      <c r="F71">
        <v>0</v>
      </c>
    </row>
    <row r="72" spans="1:6">
      <c r="A72" t="s">
        <v>980</v>
      </c>
      <c r="B72" t="s">
        <v>1171</v>
      </c>
      <c r="E72" t="s">
        <v>1171</v>
      </c>
      <c r="F72">
        <v>0</v>
      </c>
    </row>
    <row r="73" spans="1:6">
      <c r="A73" t="s">
        <v>895</v>
      </c>
      <c r="D73" t="s">
        <v>1171</v>
      </c>
      <c r="F73">
        <v>3503</v>
      </c>
    </row>
    <row r="74" spans="1:6">
      <c r="A74" t="s">
        <v>981</v>
      </c>
      <c r="C74" t="s">
        <v>1171</v>
      </c>
      <c r="F74">
        <v>0</v>
      </c>
    </row>
    <row r="75" spans="1:6">
      <c r="A75" t="s">
        <v>917</v>
      </c>
      <c r="D75" t="s">
        <v>1171</v>
      </c>
      <c r="E75" t="s">
        <v>1171</v>
      </c>
      <c r="F75">
        <v>7006</v>
      </c>
    </row>
    <row r="76" spans="1:6">
      <c r="A76" t="s">
        <v>982</v>
      </c>
      <c r="B76" t="s">
        <v>1171</v>
      </c>
      <c r="F76">
        <v>0</v>
      </c>
    </row>
    <row r="77" spans="1:6">
      <c r="A77" t="s">
        <v>98</v>
      </c>
      <c r="D77" t="s">
        <v>1171</v>
      </c>
      <c r="F77">
        <v>2684</v>
      </c>
    </row>
    <row r="78" spans="1:6">
      <c r="A78" t="s">
        <v>6</v>
      </c>
      <c r="D78" t="s">
        <v>1171</v>
      </c>
      <c r="F78">
        <v>3095</v>
      </c>
    </row>
    <row r="79" spans="1:6">
      <c r="A79" t="s">
        <v>983</v>
      </c>
      <c r="D79" t="s">
        <v>1171</v>
      </c>
      <c r="F79">
        <v>3095</v>
      </c>
    </row>
    <row r="80" spans="1:6">
      <c r="A80" t="s">
        <v>984</v>
      </c>
      <c r="D80" t="s">
        <v>1171</v>
      </c>
      <c r="F80">
        <v>3095</v>
      </c>
    </row>
    <row r="81" spans="1:6">
      <c r="A81" t="s">
        <v>985</v>
      </c>
      <c r="B81" t="s">
        <v>1171</v>
      </c>
      <c r="F81">
        <v>0</v>
      </c>
    </row>
    <row r="82" spans="1:6">
      <c r="A82" t="s">
        <v>986</v>
      </c>
      <c r="D82" t="s">
        <v>1171</v>
      </c>
      <c r="F82">
        <v>3095</v>
      </c>
    </row>
    <row r="83" spans="1:6">
      <c r="A83" t="s">
        <v>987</v>
      </c>
      <c r="B83" t="s">
        <v>1171</v>
      </c>
      <c r="F83">
        <v>0</v>
      </c>
    </row>
    <row r="84" spans="1:6">
      <c r="A84" t="s">
        <v>988</v>
      </c>
      <c r="D84" t="s">
        <v>1171</v>
      </c>
      <c r="F84">
        <v>3095</v>
      </c>
    </row>
    <row r="85" spans="1:6">
      <c r="A85" t="s">
        <v>734</v>
      </c>
      <c r="D85" t="s">
        <v>1171</v>
      </c>
      <c r="E85" t="s">
        <v>1171</v>
      </c>
      <c r="F85">
        <v>3095</v>
      </c>
    </row>
    <row r="86" spans="1:6">
      <c r="A86" t="s">
        <v>989</v>
      </c>
      <c r="C86" t="s">
        <v>1171</v>
      </c>
      <c r="F86">
        <v>0</v>
      </c>
    </row>
    <row r="87" spans="1:6">
      <c r="A87" t="s">
        <v>990</v>
      </c>
      <c r="D87" t="s">
        <v>1171</v>
      </c>
      <c r="E87" t="s">
        <v>1171</v>
      </c>
      <c r="F87">
        <v>3395</v>
      </c>
    </row>
    <row r="88" spans="1:6">
      <c r="A88" t="s">
        <v>991</v>
      </c>
      <c r="B88" t="s">
        <v>1171</v>
      </c>
      <c r="F88">
        <v>0</v>
      </c>
    </row>
    <row r="89" spans="1:6">
      <c r="A89" t="s">
        <v>992</v>
      </c>
      <c r="C89" t="s">
        <v>1171</v>
      </c>
      <c r="F89">
        <v>0</v>
      </c>
    </row>
    <row r="90" spans="1:6">
      <c r="A90" t="s">
        <v>993</v>
      </c>
      <c r="C90" t="s">
        <v>1171</v>
      </c>
      <c r="E90" t="s">
        <v>1171</v>
      </c>
      <c r="F90">
        <v>0</v>
      </c>
    </row>
    <row r="91" spans="1:6">
      <c r="A91" t="s">
        <v>994</v>
      </c>
      <c r="D91" t="s">
        <v>1171</v>
      </c>
      <c r="F91">
        <v>3395</v>
      </c>
    </row>
    <row r="92" spans="1:6">
      <c r="A92" t="s">
        <v>112</v>
      </c>
      <c r="D92" t="s">
        <v>1171</v>
      </c>
      <c r="F92">
        <v>2309</v>
      </c>
    </row>
    <row r="93" spans="1:6">
      <c r="A93" t="s">
        <v>113</v>
      </c>
      <c r="D93" t="s">
        <v>1171</v>
      </c>
      <c r="E93" t="s">
        <v>1171</v>
      </c>
      <c r="F93">
        <v>2755</v>
      </c>
    </row>
    <row r="94" spans="1:6">
      <c r="A94" t="s">
        <v>995</v>
      </c>
      <c r="B94" t="s">
        <v>1171</v>
      </c>
      <c r="F94">
        <v>0</v>
      </c>
    </row>
    <row r="95" spans="1:6">
      <c r="A95" t="s">
        <v>996</v>
      </c>
      <c r="D95" t="s">
        <v>1171</v>
      </c>
      <c r="F95">
        <v>2755</v>
      </c>
    </row>
    <row r="96" spans="1:6">
      <c r="A96" t="s">
        <v>997</v>
      </c>
      <c r="B96" t="s">
        <v>1171</v>
      </c>
      <c r="F96">
        <v>0</v>
      </c>
    </row>
    <row r="97" spans="1:6">
      <c r="A97" t="s">
        <v>998</v>
      </c>
      <c r="C97" t="s">
        <v>1171</v>
      </c>
      <c r="F97">
        <v>0</v>
      </c>
    </row>
    <row r="98" spans="1:6">
      <c r="A98" t="s">
        <v>999</v>
      </c>
      <c r="D98" t="s">
        <v>1171</v>
      </c>
      <c r="E98" t="s">
        <v>1171</v>
      </c>
      <c r="F98">
        <v>2755</v>
      </c>
    </row>
    <row r="99" spans="1:6">
      <c r="A99" t="s">
        <v>1000</v>
      </c>
      <c r="C99" t="s">
        <v>1171</v>
      </c>
      <c r="F99">
        <v>0</v>
      </c>
    </row>
    <row r="100" spans="1:6">
      <c r="A100" t="s">
        <v>1001</v>
      </c>
      <c r="D100" t="s">
        <v>1171</v>
      </c>
      <c r="F100">
        <v>2755</v>
      </c>
    </row>
    <row r="101" spans="1:6">
      <c r="A101" t="s">
        <v>1002</v>
      </c>
      <c r="C101" t="s">
        <v>1171</v>
      </c>
      <c r="F101">
        <v>0</v>
      </c>
    </row>
    <row r="102" spans="1:6">
      <c r="A102" t="s">
        <v>1003</v>
      </c>
      <c r="B102" t="s">
        <v>1171</v>
      </c>
      <c r="F102">
        <v>0</v>
      </c>
    </row>
    <row r="103" spans="1:6">
      <c r="A103" t="s">
        <v>1004</v>
      </c>
      <c r="D103" t="s">
        <v>1171</v>
      </c>
      <c r="F103">
        <v>2755</v>
      </c>
    </row>
    <row r="104" spans="1:6">
      <c r="A104" t="s">
        <v>1005</v>
      </c>
      <c r="D104" t="s">
        <v>1171</v>
      </c>
      <c r="F104">
        <v>2755</v>
      </c>
    </row>
    <row r="105" spans="1:6">
      <c r="A105" t="s">
        <v>1006</v>
      </c>
      <c r="C105" t="s">
        <v>1171</v>
      </c>
      <c r="F105">
        <v>0</v>
      </c>
    </row>
    <row r="106" spans="1:6">
      <c r="A106" t="s">
        <v>1007</v>
      </c>
      <c r="C106" t="s">
        <v>1171</v>
      </c>
      <c r="F106">
        <v>0</v>
      </c>
    </row>
    <row r="107" spans="1:6">
      <c r="A107" t="s">
        <v>127</v>
      </c>
      <c r="B107" t="s">
        <v>1171</v>
      </c>
      <c r="F107">
        <v>0</v>
      </c>
    </row>
    <row r="108" spans="1:6">
      <c r="A108" t="s">
        <v>128</v>
      </c>
      <c r="C108" t="s">
        <v>1171</v>
      </c>
      <c r="F108">
        <v>0</v>
      </c>
    </row>
    <row r="109" spans="1:6">
      <c r="A109" t="s">
        <v>1008</v>
      </c>
      <c r="C109" t="s">
        <v>1171</v>
      </c>
      <c r="E109" t="s">
        <v>1171</v>
      </c>
      <c r="F109">
        <v>0</v>
      </c>
    </row>
    <row r="110" spans="1:6">
      <c r="A110" t="s">
        <v>1009</v>
      </c>
      <c r="C110" t="s">
        <v>1171</v>
      </c>
      <c r="F110">
        <v>0</v>
      </c>
    </row>
    <row r="111" spans="1:6">
      <c r="A111" t="s">
        <v>1010</v>
      </c>
      <c r="D111" t="s">
        <v>1171</v>
      </c>
      <c r="F111">
        <v>7977</v>
      </c>
    </row>
    <row r="112" spans="1:6">
      <c r="A112" t="s">
        <v>918</v>
      </c>
      <c r="D112" t="s">
        <v>1171</v>
      </c>
      <c r="E112" t="s">
        <v>1171</v>
      </c>
      <c r="F112">
        <v>5318</v>
      </c>
    </row>
    <row r="113" spans="1:6">
      <c r="A113" t="s">
        <v>1011</v>
      </c>
      <c r="C113" t="s">
        <v>1171</v>
      </c>
      <c r="F113">
        <v>0</v>
      </c>
    </row>
    <row r="114" spans="1:6">
      <c r="A114" t="s">
        <v>1012</v>
      </c>
      <c r="C114" t="s">
        <v>1171</v>
      </c>
      <c r="F114">
        <v>0</v>
      </c>
    </row>
    <row r="115" spans="1:6">
      <c r="A115" t="s">
        <v>1013</v>
      </c>
      <c r="D115" t="s">
        <v>1171</v>
      </c>
      <c r="F115">
        <v>5318</v>
      </c>
    </row>
    <row r="116" spans="1:6">
      <c r="A116" t="s">
        <v>1014</v>
      </c>
      <c r="D116" t="s">
        <v>1171</v>
      </c>
      <c r="F116">
        <v>2659</v>
      </c>
    </row>
    <row r="117" spans="1:6">
      <c r="A117" t="s">
        <v>1015</v>
      </c>
      <c r="D117" t="s">
        <v>1171</v>
      </c>
      <c r="F117">
        <v>2659</v>
      </c>
    </row>
    <row r="118" spans="1:6">
      <c r="A118" t="s">
        <v>1016</v>
      </c>
      <c r="D118" t="s">
        <v>1171</v>
      </c>
      <c r="E118" t="s">
        <v>1171</v>
      </c>
      <c r="F118">
        <v>2659</v>
      </c>
    </row>
    <row r="119" spans="1:6">
      <c r="A119" t="s">
        <v>1017</v>
      </c>
      <c r="B119" t="s">
        <v>1171</v>
      </c>
      <c r="F119">
        <v>0</v>
      </c>
    </row>
    <row r="120" spans="1:6">
      <c r="A120" t="s">
        <v>1018</v>
      </c>
      <c r="C120" t="s">
        <v>1171</v>
      </c>
      <c r="F120">
        <v>0</v>
      </c>
    </row>
    <row r="121" spans="1:6">
      <c r="A121" t="s">
        <v>141</v>
      </c>
      <c r="C121" t="s">
        <v>1171</v>
      </c>
      <c r="F121">
        <v>0</v>
      </c>
    </row>
    <row r="122" spans="1:6">
      <c r="A122" t="s">
        <v>13</v>
      </c>
      <c r="D122" t="s">
        <v>1171</v>
      </c>
      <c r="F122">
        <v>2700</v>
      </c>
    </row>
    <row r="123" spans="1:6">
      <c r="A123" t="s">
        <v>1019</v>
      </c>
      <c r="C123" t="s">
        <v>1171</v>
      </c>
      <c r="F123">
        <v>0</v>
      </c>
    </row>
    <row r="124" spans="1:6">
      <c r="A124" t="s">
        <v>1020</v>
      </c>
      <c r="D124" t="s">
        <v>1171</v>
      </c>
      <c r="F124">
        <v>5400</v>
      </c>
    </row>
    <row r="125" spans="1:6">
      <c r="A125" t="s">
        <v>1021</v>
      </c>
      <c r="D125" t="s">
        <v>1171</v>
      </c>
      <c r="F125">
        <v>5400</v>
      </c>
    </row>
    <row r="126" spans="1:6">
      <c r="A126" t="s">
        <v>1022</v>
      </c>
      <c r="D126" t="s">
        <v>1171</v>
      </c>
      <c r="F126">
        <v>2700</v>
      </c>
    </row>
    <row r="127" spans="1:6">
      <c r="A127" t="s">
        <v>1023</v>
      </c>
      <c r="B127" t="s">
        <v>1171</v>
      </c>
      <c r="F127">
        <v>0</v>
      </c>
    </row>
    <row r="128" spans="1:6">
      <c r="A128" t="s">
        <v>1024</v>
      </c>
      <c r="B128" t="s">
        <v>1171</v>
      </c>
      <c r="E128" t="s">
        <v>1171</v>
      </c>
      <c r="F128">
        <v>0</v>
      </c>
    </row>
    <row r="129" spans="1:6">
      <c r="A129" t="s">
        <v>896</v>
      </c>
      <c r="D129" t="s">
        <v>1171</v>
      </c>
      <c r="F129">
        <v>2700</v>
      </c>
    </row>
    <row r="130" spans="1:6">
      <c r="A130" t="s">
        <v>1025</v>
      </c>
      <c r="C130" t="s">
        <v>1171</v>
      </c>
      <c r="E130" t="s">
        <v>1171</v>
      </c>
      <c r="F130">
        <v>0</v>
      </c>
    </row>
    <row r="131" spans="1:6">
      <c r="A131" t="s">
        <v>1026</v>
      </c>
      <c r="D131" t="s">
        <v>1171</v>
      </c>
      <c r="F131">
        <v>2700</v>
      </c>
    </row>
    <row r="132" spans="1:6">
      <c r="A132" t="s">
        <v>1027</v>
      </c>
      <c r="B132" t="s">
        <v>1171</v>
      </c>
      <c r="F132">
        <v>0</v>
      </c>
    </row>
    <row r="133" spans="1:6">
      <c r="A133" t="s">
        <v>1028</v>
      </c>
      <c r="D133" t="s">
        <v>1171</v>
      </c>
      <c r="F133">
        <v>2700</v>
      </c>
    </row>
    <row r="134" spans="1:6">
      <c r="A134" t="s">
        <v>1029</v>
      </c>
      <c r="C134" t="s">
        <v>1171</v>
      </c>
      <c r="F134">
        <v>0</v>
      </c>
    </row>
    <row r="135" spans="1:6">
      <c r="A135" t="s">
        <v>154</v>
      </c>
      <c r="B135" t="s">
        <v>1171</v>
      </c>
      <c r="F135">
        <v>0</v>
      </c>
    </row>
    <row r="136" spans="1:6">
      <c r="A136" t="s">
        <v>7</v>
      </c>
      <c r="C136" t="s">
        <v>1171</v>
      </c>
      <c r="F136">
        <v>0</v>
      </c>
    </row>
    <row r="137" spans="1:6">
      <c r="A137" t="s">
        <v>1030</v>
      </c>
      <c r="B137" t="s">
        <v>1171</v>
      </c>
      <c r="F137">
        <v>0</v>
      </c>
    </row>
    <row r="138" spans="1:6">
      <c r="A138" t="s">
        <v>897</v>
      </c>
      <c r="D138" t="s">
        <v>1171</v>
      </c>
      <c r="F138">
        <v>6684</v>
      </c>
    </row>
    <row r="139" spans="1:6">
      <c r="A139" t="s">
        <v>1031</v>
      </c>
      <c r="C139" t="s">
        <v>1171</v>
      </c>
      <c r="F139">
        <v>0</v>
      </c>
    </row>
    <row r="140" spans="1:6">
      <c r="A140" t="s">
        <v>1032</v>
      </c>
      <c r="B140" t="s">
        <v>1171</v>
      </c>
      <c r="E140" t="s">
        <v>1171</v>
      </c>
      <c r="F140">
        <v>0</v>
      </c>
    </row>
    <row r="141" spans="1:6">
      <c r="A141" t="s">
        <v>1033</v>
      </c>
      <c r="D141" t="s">
        <v>1171</v>
      </c>
      <c r="F141">
        <v>1371</v>
      </c>
    </row>
    <row r="142" spans="1:6">
      <c r="A142" t="s">
        <v>1034</v>
      </c>
      <c r="C142" t="s">
        <v>1171</v>
      </c>
      <c r="F142">
        <v>0</v>
      </c>
    </row>
    <row r="143" spans="1:6">
      <c r="A143" t="s">
        <v>1035</v>
      </c>
      <c r="D143" t="s">
        <v>1171</v>
      </c>
      <c r="F143">
        <v>1671</v>
      </c>
    </row>
    <row r="144" spans="1:6">
      <c r="A144" t="s">
        <v>898</v>
      </c>
      <c r="D144" t="s">
        <v>1171</v>
      </c>
      <c r="F144">
        <v>2742</v>
      </c>
    </row>
    <row r="145" spans="1:6">
      <c r="A145" t="s">
        <v>1036</v>
      </c>
      <c r="B145" t="s">
        <v>1171</v>
      </c>
      <c r="F145">
        <v>0</v>
      </c>
    </row>
    <row r="146" spans="1:6">
      <c r="A146" t="s">
        <v>1037</v>
      </c>
      <c r="D146" t="s">
        <v>1171</v>
      </c>
      <c r="F146">
        <v>1671</v>
      </c>
    </row>
    <row r="147" spans="1:6">
      <c r="A147" t="s">
        <v>1038</v>
      </c>
      <c r="B147" t="s">
        <v>1171</v>
      </c>
      <c r="E147" t="s">
        <v>1171</v>
      </c>
      <c r="F147">
        <v>0</v>
      </c>
    </row>
    <row r="148" spans="1:6">
      <c r="A148" t="s">
        <v>1039</v>
      </c>
      <c r="C148" t="s">
        <v>1171</v>
      </c>
      <c r="F148">
        <v>0</v>
      </c>
    </row>
    <row r="149" spans="1:6">
      <c r="A149" t="s">
        <v>167</v>
      </c>
      <c r="D149" t="s">
        <v>1171</v>
      </c>
      <c r="F149">
        <v>2722</v>
      </c>
    </row>
    <row r="150" spans="1:6">
      <c r="A150" t="s">
        <v>168</v>
      </c>
      <c r="B150" t="s">
        <v>1171</v>
      </c>
      <c r="F150">
        <v>0</v>
      </c>
    </row>
    <row r="151" spans="1:6">
      <c r="A151" t="s">
        <v>1040</v>
      </c>
      <c r="C151" t="s">
        <v>1171</v>
      </c>
      <c r="F151">
        <v>0</v>
      </c>
    </row>
    <row r="152" spans="1:6">
      <c r="A152" t="s">
        <v>1041</v>
      </c>
      <c r="B152" t="s">
        <v>1171</v>
      </c>
      <c r="F152">
        <v>0</v>
      </c>
    </row>
    <row r="153" spans="1:6">
      <c r="A153" t="s">
        <v>1042</v>
      </c>
      <c r="B153" t="s">
        <v>1171</v>
      </c>
      <c r="F153">
        <v>0</v>
      </c>
    </row>
    <row r="154" spans="1:6">
      <c r="A154" t="s">
        <v>1043</v>
      </c>
      <c r="D154" t="s">
        <v>1171</v>
      </c>
      <c r="F154">
        <v>2722</v>
      </c>
    </row>
    <row r="155" spans="1:6">
      <c r="A155" t="s">
        <v>1044</v>
      </c>
      <c r="C155" t="s">
        <v>1171</v>
      </c>
      <c r="F155">
        <v>0</v>
      </c>
    </row>
    <row r="156" spans="1:6">
      <c r="A156" t="s">
        <v>1045</v>
      </c>
      <c r="B156" t="s">
        <v>1171</v>
      </c>
      <c r="F156">
        <v>0</v>
      </c>
    </row>
    <row r="157" spans="1:6">
      <c r="A157" t="s">
        <v>1046</v>
      </c>
      <c r="B157" t="s">
        <v>1171</v>
      </c>
      <c r="F157">
        <v>0</v>
      </c>
    </row>
    <row r="158" spans="1:6">
      <c r="A158" t="s">
        <v>1047</v>
      </c>
      <c r="B158" t="s">
        <v>1171</v>
      </c>
      <c r="F158">
        <v>0</v>
      </c>
    </row>
    <row r="159" spans="1:6">
      <c r="A159" t="s">
        <v>1048</v>
      </c>
      <c r="B159" t="s">
        <v>1171</v>
      </c>
      <c r="F159">
        <v>0</v>
      </c>
    </row>
    <row r="160" spans="1:6">
      <c r="A160" t="s">
        <v>1049</v>
      </c>
      <c r="C160" t="s">
        <v>1171</v>
      </c>
      <c r="F160">
        <v>0</v>
      </c>
    </row>
    <row r="161" spans="1:6">
      <c r="A161" t="s">
        <v>1050</v>
      </c>
      <c r="C161" t="s">
        <v>1171</v>
      </c>
      <c r="F161">
        <v>0</v>
      </c>
    </row>
    <row r="162" spans="1:6">
      <c r="A162" t="s">
        <v>1051</v>
      </c>
      <c r="D162" t="s">
        <v>1171</v>
      </c>
      <c r="F162">
        <v>5444</v>
      </c>
    </row>
    <row r="163" spans="1:6">
      <c r="A163" t="s">
        <v>181</v>
      </c>
      <c r="B163" t="s">
        <v>1171</v>
      </c>
      <c r="F163">
        <v>0</v>
      </c>
    </row>
    <row r="164" spans="1:6">
      <c r="A164" t="s">
        <v>182</v>
      </c>
      <c r="C164" t="s">
        <v>1171</v>
      </c>
      <c r="F164">
        <v>0</v>
      </c>
    </row>
    <row r="165" spans="1:6">
      <c r="A165" t="s">
        <v>1052</v>
      </c>
      <c r="B165" t="s">
        <v>1171</v>
      </c>
      <c r="F165">
        <v>0</v>
      </c>
    </row>
    <row r="166" spans="1:6">
      <c r="A166" t="s">
        <v>1053</v>
      </c>
      <c r="B166" t="s">
        <v>1171</v>
      </c>
      <c r="F166">
        <v>0</v>
      </c>
    </row>
    <row r="167" spans="1:6">
      <c r="A167" t="s">
        <v>1054</v>
      </c>
      <c r="B167" t="s">
        <v>1171</v>
      </c>
      <c r="F167">
        <v>0</v>
      </c>
    </row>
    <row r="168" spans="1:6">
      <c r="A168" t="s">
        <v>1055</v>
      </c>
      <c r="B168" t="s">
        <v>1171</v>
      </c>
      <c r="F168">
        <v>0</v>
      </c>
    </row>
    <row r="169" spans="1:6">
      <c r="A169" t="s">
        <v>1056</v>
      </c>
      <c r="B169" t="s">
        <v>1171</v>
      </c>
      <c r="F169">
        <v>0</v>
      </c>
    </row>
    <row r="170" spans="1:6">
      <c r="A170" t="s">
        <v>1057</v>
      </c>
      <c r="B170" t="s">
        <v>1171</v>
      </c>
      <c r="F170">
        <v>0</v>
      </c>
    </row>
    <row r="171" spans="1:6">
      <c r="A171" t="s">
        <v>1058</v>
      </c>
      <c r="C171" t="s">
        <v>1171</v>
      </c>
      <c r="F171">
        <v>0</v>
      </c>
    </row>
    <row r="172" spans="1:6">
      <c r="A172" t="s">
        <v>1059</v>
      </c>
      <c r="B172" t="s">
        <v>1171</v>
      </c>
      <c r="E172" t="s">
        <v>1171</v>
      </c>
      <c r="F172">
        <v>0</v>
      </c>
    </row>
    <row r="173" spans="1:6">
      <c r="A173" t="s">
        <v>1060</v>
      </c>
      <c r="C173" t="s">
        <v>1171</v>
      </c>
      <c r="F173">
        <v>0</v>
      </c>
    </row>
    <row r="174" spans="1:6">
      <c r="A174" t="s">
        <v>1061</v>
      </c>
      <c r="B174" t="s">
        <v>1171</v>
      </c>
      <c r="F174">
        <v>0</v>
      </c>
    </row>
    <row r="175" spans="1:6">
      <c r="A175" t="s">
        <v>1062</v>
      </c>
      <c r="D175" t="s">
        <v>1171</v>
      </c>
      <c r="F175">
        <v>5612</v>
      </c>
    </row>
    <row r="176" spans="1:6">
      <c r="A176" t="s">
        <v>899</v>
      </c>
      <c r="D176" t="s">
        <v>1171</v>
      </c>
      <c r="F176">
        <v>5612</v>
      </c>
    </row>
    <row r="177" spans="1:6">
      <c r="A177" t="s">
        <v>1063</v>
      </c>
      <c r="D177" t="s">
        <v>1171</v>
      </c>
      <c r="F177">
        <v>2806</v>
      </c>
    </row>
    <row r="178" spans="1:6">
      <c r="A178" t="s">
        <v>196</v>
      </c>
      <c r="D178" t="s">
        <v>1171</v>
      </c>
      <c r="F178">
        <v>1671</v>
      </c>
    </row>
    <row r="179" spans="1:6">
      <c r="A179" t="s">
        <v>197</v>
      </c>
      <c r="B179" t="s">
        <v>1171</v>
      </c>
      <c r="F179">
        <v>0</v>
      </c>
    </row>
    <row r="180" spans="1:6">
      <c r="A180" t="s">
        <v>875</v>
      </c>
      <c r="D180" t="s">
        <v>1171</v>
      </c>
      <c r="F180">
        <v>1671</v>
      </c>
    </row>
    <row r="181" spans="1:6">
      <c r="A181" t="s">
        <v>1064</v>
      </c>
      <c r="D181" t="s">
        <v>1171</v>
      </c>
      <c r="F181">
        <v>1371</v>
      </c>
    </row>
    <row r="182" spans="1:6">
      <c r="A182" t="s">
        <v>1065</v>
      </c>
      <c r="B182" t="s">
        <v>1171</v>
      </c>
      <c r="F182">
        <v>0</v>
      </c>
    </row>
    <row r="183" spans="1:6">
      <c r="A183" t="s">
        <v>1066</v>
      </c>
      <c r="B183" t="s">
        <v>1171</v>
      </c>
      <c r="F183">
        <v>0</v>
      </c>
    </row>
    <row r="184" spans="1:6">
      <c r="A184" t="s">
        <v>1067</v>
      </c>
      <c r="D184" t="s">
        <v>1171</v>
      </c>
      <c r="F184">
        <v>1371</v>
      </c>
    </row>
    <row r="185" spans="1:6">
      <c r="A185" t="s">
        <v>1068</v>
      </c>
      <c r="D185" t="s">
        <v>1171</v>
      </c>
      <c r="F185">
        <v>1671</v>
      </c>
    </row>
    <row r="186" spans="1:6">
      <c r="A186" t="s">
        <v>1069</v>
      </c>
      <c r="D186" t="s">
        <v>1171</v>
      </c>
      <c r="F186">
        <v>1671</v>
      </c>
    </row>
    <row r="187" spans="1:6">
      <c r="A187" t="s">
        <v>1070</v>
      </c>
      <c r="D187" t="s">
        <v>1171</v>
      </c>
      <c r="F187">
        <v>3342</v>
      </c>
    </row>
    <row r="188" spans="1:6">
      <c r="A188" t="s">
        <v>1071</v>
      </c>
      <c r="D188" t="s">
        <v>1171</v>
      </c>
      <c r="F188">
        <v>1671</v>
      </c>
    </row>
    <row r="189" spans="1:6">
      <c r="A189" t="s">
        <v>1072</v>
      </c>
      <c r="B189" t="s">
        <v>1171</v>
      </c>
      <c r="E189" t="s">
        <v>1171</v>
      </c>
      <c r="F189">
        <v>0</v>
      </c>
    </row>
    <row r="190" spans="1:6">
      <c r="A190" t="s">
        <v>1073</v>
      </c>
      <c r="B190" t="s">
        <v>1171</v>
      </c>
      <c r="F190">
        <v>0</v>
      </c>
    </row>
    <row r="191" spans="1:6">
      <c r="A191" t="s">
        <v>1074</v>
      </c>
      <c r="C191" t="s">
        <v>1171</v>
      </c>
      <c r="F191">
        <v>0</v>
      </c>
    </row>
    <row r="192" spans="1:6">
      <c r="A192" t="s">
        <v>210</v>
      </c>
      <c r="B192" t="s">
        <v>1171</v>
      </c>
      <c r="F192">
        <v>0</v>
      </c>
    </row>
    <row r="193" spans="1:6">
      <c r="A193" t="s">
        <v>211</v>
      </c>
      <c r="D193" t="s">
        <v>1171</v>
      </c>
      <c r="E193" t="s">
        <v>1171</v>
      </c>
      <c r="F193">
        <v>2778</v>
      </c>
    </row>
    <row r="194" spans="1:6">
      <c r="A194" t="s">
        <v>1075</v>
      </c>
      <c r="B194" t="s">
        <v>1171</v>
      </c>
      <c r="E194" t="s">
        <v>1171</v>
      </c>
      <c r="F194">
        <v>0</v>
      </c>
    </row>
    <row r="195" spans="1:6">
      <c r="A195" t="s">
        <v>1076</v>
      </c>
      <c r="C195" t="s">
        <v>1171</v>
      </c>
      <c r="F195">
        <v>0</v>
      </c>
    </row>
    <row r="196" spans="1:6">
      <c r="A196" t="s">
        <v>1077</v>
      </c>
      <c r="D196" t="s">
        <v>1171</v>
      </c>
      <c r="F196">
        <v>2778</v>
      </c>
    </row>
    <row r="197" spans="1:6">
      <c r="A197" t="s">
        <v>1078</v>
      </c>
      <c r="B197" t="s">
        <v>1171</v>
      </c>
      <c r="F197">
        <v>0</v>
      </c>
    </row>
    <row r="198" spans="1:6">
      <c r="A198" t="s">
        <v>1079</v>
      </c>
      <c r="C198" t="s">
        <v>1171</v>
      </c>
      <c r="F198">
        <v>0</v>
      </c>
    </row>
    <row r="199" spans="1:6">
      <c r="A199" t="s">
        <v>1080</v>
      </c>
      <c r="B199" t="s">
        <v>1171</v>
      </c>
      <c r="F199">
        <v>0</v>
      </c>
    </row>
    <row r="200" spans="1:6">
      <c r="A200" t="s">
        <v>1081</v>
      </c>
      <c r="D200" t="s">
        <v>1171</v>
      </c>
      <c r="E200" t="s">
        <v>1171</v>
      </c>
      <c r="F200">
        <v>2778</v>
      </c>
    </row>
    <row r="201" spans="1:6">
      <c r="A201" t="s">
        <v>1082</v>
      </c>
      <c r="B201" t="s">
        <v>1171</v>
      </c>
      <c r="E201" t="s">
        <v>1171</v>
      </c>
      <c r="F201">
        <v>0</v>
      </c>
    </row>
    <row r="202" spans="1:6">
      <c r="A202" t="s">
        <v>876</v>
      </c>
      <c r="D202" t="s">
        <v>1171</v>
      </c>
      <c r="F202">
        <v>8334</v>
      </c>
    </row>
    <row r="203" spans="1:6">
      <c r="A203" t="s">
        <v>1083</v>
      </c>
      <c r="B203" t="s">
        <v>1171</v>
      </c>
      <c r="F203">
        <v>0</v>
      </c>
    </row>
    <row r="204" spans="1:6">
      <c r="A204" t="s">
        <v>1084</v>
      </c>
      <c r="C204" t="s">
        <v>1171</v>
      </c>
      <c r="F204">
        <v>0</v>
      </c>
    </row>
    <row r="205" spans="1:6">
      <c r="A205" t="s">
        <v>1085</v>
      </c>
      <c r="B205" t="s">
        <v>1171</v>
      </c>
      <c r="F205">
        <v>0</v>
      </c>
    </row>
    <row r="206" spans="1:6">
      <c r="A206" t="s">
        <v>1086</v>
      </c>
      <c r="D206" t="s">
        <v>1171</v>
      </c>
      <c r="F206">
        <v>5556</v>
      </c>
    </row>
    <row r="207" spans="1:6">
      <c r="A207" t="s">
        <v>225</v>
      </c>
      <c r="C207" t="s">
        <v>1171</v>
      </c>
      <c r="F207">
        <v>0</v>
      </c>
    </row>
    <row r="208" spans="1:6">
      <c r="A208" t="s">
        <v>14</v>
      </c>
      <c r="C208" t="s">
        <v>1171</v>
      </c>
      <c r="F208">
        <v>0</v>
      </c>
    </row>
    <row r="209" spans="1:6">
      <c r="A209" t="s">
        <v>1087</v>
      </c>
      <c r="C209" t="s">
        <v>1171</v>
      </c>
      <c r="F209">
        <v>0</v>
      </c>
    </row>
    <row r="210" spans="1:6">
      <c r="A210" t="s">
        <v>1088</v>
      </c>
      <c r="D210" t="s">
        <v>1171</v>
      </c>
      <c r="F210">
        <v>5972</v>
      </c>
    </row>
    <row r="211" spans="1:6">
      <c r="A211" t="s">
        <v>1089</v>
      </c>
      <c r="B211" t="s">
        <v>1171</v>
      </c>
      <c r="E211" t="s">
        <v>1171</v>
      </c>
      <c r="F211">
        <v>0</v>
      </c>
    </row>
    <row r="212" spans="1:6">
      <c r="A212" t="s">
        <v>1090</v>
      </c>
      <c r="B212" t="s">
        <v>1171</v>
      </c>
      <c r="F212">
        <v>0</v>
      </c>
    </row>
    <row r="213" spans="1:6">
      <c r="A213" t="s">
        <v>1091</v>
      </c>
      <c r="B213" t="s">
        <v>1171</v>
      </c>
      <c r="F213">
        <v>0</v>
      </c>
    </row>
    <row r="214" spans="1:6">
      <c r="A214" t="s">
        <v>1092</v>
      </c>
      <c r="B214" t="s">
        <v>1171</v>
      </c>
      <c r="F214">
        <v>0</v>
      </c>
    </row>
    <row r="215" spans="1:6">
      <c r="A215" t="s">
        <v>900</v>
      </c>
      <c r="D215" t="s">
        <v>1171</v>
      </c>
      <c r="F215">
        <v>2986</v>
      </c>
    </row>
    <row r="216" spans="1:6">
      <c r="A216" t="s">
        <v>1093</v>
      </c>
      <c r="D216" t="s">
        <v>1171</v>
      </c>
      <c r="F216">
        <v>2986</v>
      </c>
    </row>
    <row r="217" spans="1:6">
      <c r="A217" t="s">
        <v>1094</v>
      </c>
      <c r="B217" t="s">
        <v>1171</v>
      </c>
      <c r="F217">
        <v>0</v>
      </c>
    </row>
    <row r="218" spans="1:6">
      <c r="A218" t="s">
        <v>1095</v>
      </c>
      <c r="C218" t="s">
        <v>1171</v>
      </c>
      <c r="F218">
        <v>0</v>
      </c>
    </row>
    <row r="219" spans="1:6">
      <c r="A219" t="s">
        <v>1096</v>
      </c>
      <c r="D219" t="s">
        <v>1171</v>
      </c>
      <c r="F219">
        <v>2986</v>
      </c>
    </row>
    <row r="220" spans="1:6">
      <c r="A220" t="s">
        <v>237</v>
      </c>
      <c r="B220" t="s">
        <v>1171</v>
      </c>
      <c r="F220">
        <v>0</v>
      </c>
    </row>
    <row r="221" spans="1:6">
      <c r="A221" t="s">
        <v>8</v>
      </c>
      <c r="B221" t="s">
        <v>1171</v>
      </c>
      <c r="F221">
        <v>0</v>
      </c>
    </row>
    <row r="222" spans="1:6">
      <c r="A222" t="s">
        <v>1097</v>
      </c>
      <c r="C222" t="s">
        <v>1171</v>
      </c>
      <c r="F222">
        <v>0</v>
      </c>
    </row>
    <row r="223" spans="1:6">
      <c r="A223" t="s">
        <v>1098</v>
      </c>
      <c r="C223" t="s">
        <v>1171</v>
      </c>
      <c r="F223">
        <v>0</v>
      </c>
    </row>
    <row r="224" spans="1:6">
      <c r="A224" t="s">
        <v>1099</v>
      </c>
      <c r="C224" t="s">
        <v>1171</v>
      </c>
      <c r="F224">
        <v>0</v>
      </c>
    </row>
    <row r="225" spans="1:6">
      <c r="A225" t="s">
        <v>1100</v>
      </c>
      <c r="C225" t="s">
        <v>1171</v>
      </c>
      <c r="F225">
        <v>0</v>
      </c>
    </row>
    <row r="226" spans="1:6">
      <c r="A226" t="s">
        <v>1101</v>
      </c>
      <c r="C226" t="s">
        <v>1171</v>
      </c>
      <c r="F226">
        <v>0</v>
      </c>
    </row>
    <row r="227" spans="1:6">
      <c r="A227" t="s">
        <v>1102</v>
      </c>
      <c r="C227" t="s">
        <v>1171</v>
      </c>
      <c r="F227">
        <v>0</v>
      </c>
    </row>
    <row r="228" spans="1:6">
      <c r="A228" t="s">
        <v>1103</v>
      </c>
      <c r="D228" t="s">
        <v>1171</v>
      </c>
      <c r="F228">
        <v>5918</v>
      </c>
    </row>
    <row r="229" spans="1:6">
      <c r="A229" t="s">
        <v>1104</v>
      </c>
      <c r="D229" t="s">
        <v>1171</v>
      </c>
      <c r="E229" t="s">
        <v>1171</v>
      </c>
      <c r="F229">
        <v>2959</v>
      </c>
    </row>
    <row r="230" spans="1:6">
      <c r="A230" t="s">
        <v>901</v>
      </c>
      <c r="D230" t="s">
        <v>1171</v>
      </c>
      <c r="F230">
        <v>2959</v>
      </c>
    </row>
    <row r="231" spans="1:6">
      <c r="A231" t="s">
        <v>906</v>
      </c>
      <c r="D231" t="s">
        <v>1171</v>
      </c>
      <c r="E231" t="s">
        <v>1171</v>
      </c>
      <c r="F231">
        <v>5918</v>
      </c>
    </row>
    <row r="232" spans="1:6">
      <c r="A232" t="s">
        <v>902</v>
      </c>
      <c r="D232" t="s">
        <v>1171</v>
      </c>
      <c r="F232">
        <v>2959</v>
      </c>
    </row>
    <row r="233" spans="1:6">
      <c r="A233" t="s">
        <v>249</v>
      </c>
      <c r="D233" t="s">
        <v>1171</v>
      </c>
      <c r="F233">
        <v>3054</v>
      </c>
    </row>
    <row r="234" spans="1:6">
      <c r="A234" t="s">
        <v>250</v>
      </c>
      <c r="C234" t="s">
        <v>1171</v>
      </c>
      <c r="F234">
        <v>0</v>
      </c>
    </row>
    <row r="235" spans="1:6">
      <c r="A235" t="s">
        <v>1105</v>
      </c>
      <c r="C235" t="s">
        <v>1171</v>
      </c>
      <c r="F235">
        <v>0</v>
      </c>
    </row>
    <row r="236" spans="1:6">
      <c r="A236" t="s">
        <v>1106</v>
      </c>
      <c r="D236" t="s">
        <v>1171</v>
      </c>
      <c r="E236" t="s">
        <v>1171</v>
      </c>
      <c r="F236">
        <v>3054</v>
      </c>
    </row>
    <row r="237" spans="1:6">
      <c r="A237" t="s">
        <v>1107</v>
      </c>
      <c r="B237" t="s">
        <v>1171</v>
      </c>
      <c r="F237">
        <v>0</v>
      </c>
    </row>
    <row r="238" spans="1:6">
      <c r="A238" t="s">
        <v>1108</v>
      </c>
      <c r="B238" t="s">
        <v>1171</v>
      </c>
      <c r="F238">
        <v>0</v>
      </c>
    </row>
    <row r="239" spans="1:6">
      <c r="A239" t="s">
        <v>1109</v>
      </c>
      <c r="D239" t="s">
        <v>1171</v>
      </c>
      <c r="F239">
        <v>3054</v>
      </c>
    </row>
    <row r="240" spans="1:6">
      <c r="A240" t="s">
        <v>1110</v>
      </c>
      <c r="D240" t="s">
        <v>1171</v>
      </c>
      <c r="F240">
        <v>3054</v>
      </c>
    </row>
    <row r="241" spans="1:6">
      <c r="A241" t="s">
        <v>1111</v>
      </c>
      <c r="B241" t="s">
        <v>1171</v>
      </c>
      <c r="F241">
        <v>0</v>
      </c>
    </row>
    <row r="242" spans="1:6">
      <c r="A242" t="s">
        <v>1112</v>
      </c>
      <c r="C242" t="s">
        <v>1171</v>
      </c>
      <c r="F242">
        <v>0</v>
      </c>
    </row>
    <row r="243" spans="1:6">
      <c r="A243" t="s">
        <v>1113</v>
      </c>
      <c r="D243" t="s">
        <v>1171</v>
      </c>
      <c r="F243">
        <v>6108</v>
      </c>
    </row>
    <row r="244" spans="1:6">
      <c r="A244" t="s">
        <v>1114</v>
      </c>
      <c r="C244" t="s">
        <v>1171</v>
      </c>
      <c r="E244" t="s">
        <v>1171</v>
      </c>
      <c r="F244">
        <v>0</v>
      </c>
    </row>
    <row r="245" spans="1:6">
      <c r="A245" t="s">
        <v>1115</v>
      </c>
      <c r="B245" t="s">
        <v>1171</v>
      </c>
      <c r="F245">
        <v>0</v>
      </c>
    </row>
    <row r="246" spans="1:6">
      <c r="A246" t="s">
        <v>1116</v>
      </c>
      <c r="D246" t="s">
        <v>1171</v>
      </c>
      <c r="F246">
        <v>3054</v>
      </c>
    </row>
    <row r="247" spans="1:6">
      <c r="A247" t="s">
        <v>263</v>
      </c>
      <c r="B247" t="s">
        <v>1171</v>
      </c>
      <c r="F247">
        <v>0</v>
      </c>
    </row>
    <row r="248" spans="1:6">
      <c r="A248" t="s">
        <v>264</v>
      </c>
      <c r="C248" t="s">
        <v>1171</v>
      </c>
      <c r="F248">
        <v>0</v>
      </c>
    </row>
    <row r="249" spans="1:6">
      <c r="A249" t="s">
        <v>1117</v>
      </c>
      <c r="C249" t="s">
        <v>1171</v>
      </c>
      <c r="F249">
        <v>0</v>
      </c>
    </row>
    <row r="250" spans="1:6">
      <c r="A250" t="s">
        <v>1118</v>
      </c>
      <c r="C250" t="s">
        <v>1171</v>
      </c>
      <c r="F250">
        <v>0</v>
      </c>
    </row>
    <row r="251" spans="1:6">
      <c r="A251" t="s">
        <v>903</v>
      </c>
      <c r="D251" t="s">
        <v>1171</v>
      </c>
      <c r="F251">
        <v>9228</v>
      </c>
    </row>
    <row r="252" spans="1:6">
      <c r="A252" t="s">
        <v>1119</v>
      </c>
      <c r="C252" t="s">
        <v>1171</v>
      </c>
      <c r="E252" t="s">
        <v>1171</v>
      </c>
      <c r="F252">
        <v>0</v>
      </c>
    </row>
    <row r="253" spans="1:6">
      <c r="A253" t="s">
        <v>1120</v>
      </c>
      <c r="D253" t="s">
        <v>1171</v>
      </c>
      <c r="F253">
        <v>9228</v>
      </c>
    </row>
    <row r="254" spans="1:6">
      <c r="A254" t="s">
        <v>1121</v>
      </c>
      <c r="B254" t="s">
        <v>1171</v>
      </c>
      <c r="F254">
        <v>0</v>
      </c>
    </row>
    <row r="255" spans="1:6">
      <c r="A255" t="s">
        <v>1122</v>
      </c>
      <c r="C255" t="s">
        <v>1171</v>
      </c>
      <c r="E255" t="s">
        <v>1171</v>
      </c>
      <c r="F255">
        <v>0</v>
      </c>
    </row>
    <row r="256" spans="1:6">
      <c r="A256" t="s">
        <v>1123</v>
      </c>
      <c r="B256" t="s">
        <v>1171</v>
      </c>
      <c r="F256">
        <v>0</v>
      </c>
    </row>
    <row r="257" spans="1:6">
      <c r="A257" t="s">
        <v>1124</v>
      </c>
      <c r="C257" t="s">
        <v>1171</v>
      </c>
      <c r="F257">
        <v>0</v>
      </c>
    </row>
    <row r="258" spans="1:6">
      <c r="A258" t="s">
        <v>1125</v>
      </c>
      <c r="B258" t="s">
        <v>1171</v>
      </c>
      <c r="F258">
        <v>0</v>
      </c>
    </row>
    <row r="259" spans="1:6">
      <c r="A259" t="s">
        <v>1126</v>
      </c>
      <c r="D259" t="s">
        <v>1171</v>
      </c>
      <c r="F259">
        <v>3076</v>
      </c>
    </row>
    <row r="260" spans="1:6">
      <c r="A260" t="s">
        <v>1127</v>
      </c>
      <c r="B260" t="s">
        <v>1171</v>
      </c>
      <c r="F260">
        <v>0</v>
      </c>
    </row>
    <row r="261" spans="1:6">
      <c r="A261" t="s">
        <v>277</v>
      </c>
      <c r="B261" t="s">
        <v>1171</v>
      </c>
      <c r="F261">
        <v>0</v>
      </c>
    </row>
    <row r="262" spans="1:6">
      <c r="A262" t="s">
        <v>278</v>
      </c>
      <c r="D262" t="s">
        <v>1171</v>
      </c>
      <c r="F262">
        <v>2083</v>
      </c>
    </row>
    <row r="263" spans="1:6">
      <c r="A263" t="s">
        <v>1128</v>
      </c>
      <c r="D263" t="s">
        <v>1171</v>
      </c>
      <c r="F263">
        <v>4166</v>
      </c>
    </row>
    <row r="264" spans="1:6">
      <c r="A264" t="s">
        <v>1129</v>
      </c>
      <c r="D264" t="s">
        <v>1171</v>
      </c>
      <c r="E264" t="s">
        <v>1171</v>
      </c>
      <c r="F264">
        <v>1783</v>
      </c>
    </row>
    <row r="265" spans="1:6">
      <c r="A265" t="s">
        <v>1130</v>
      </c>
      <c r="D265" t="s">
        <v>1171</v>
      </c>
      <c r="F265">
        <v>2083</v>
      </c>
    </row>
    <row r="266" spans="1:6">
      <c r="A266" t="s">
        <v>1131</v>
      </c>
      <c r="D266" t="s">
        <v>1171</v>
      </c>
      <c r="F266">
        <v>4166</v>
      </c>
    </row>
    <row r="267" spans="1:6">
      <c r="A267" t="s">
        <v>1132</v>
      </c>
      <c r="D267" t="s">
        <v>1171</v>
      </c>
      <c r="F267">
        <v>2083</v>
      </c>
    </row>
    <row r="268" spans="1:6">
      <c r="A268" t="s">
        <v>1133</v>
      </c>
      <c r="D268" t="s">
        <v>1171</v>
      </c>
      <c r="F268">
        <v>2083</v>
      </c>
    </row>
    <row r="269" spans="1:6">
      <c r="A269" t="s">
        <v>1134</v>
      </c>
      <c r="D269" t="s">
        <v>1171</v>
      </c>
      <c r="F269">
        <v>2083</v>
      </c>
    </row>
    <row r="270" spans="1:6">
      <c r="A270" t="s">
        <v>904</v>
      </c>
      <c r="D270" t="s">
        <v>1171</v>
      </c>
      <c r="F270">
        <v>2083</v>
      </c>
    </row>
    <row r="271" spans="1:6">
      <c r="A271" t="s">
        <v>1135</v>
      </c>
      <c r="C271" t="s">
        <v>1171</v>
      </c>
      <c r="F271">
        <v>0</v>
      </c>
    </row>
    <row r="272" spans="1:6">
      <c r="A272" t="s">
        <v>1136</v>
      </c>
      <c r="D272" t="s">
        <v>1171</v>
      </c>
      <c r="F272">
        <v>2083</v>
      </c>
    </row>
    <row r="273" spans="1:6">
      <c r="A273" t="s">
        <v>1137</v>
      </c>
      <c r="B273" t="s">
        <v>1171</v>
      </c>
      <c r="F273">
        <v>0</v>
      </c>
    </row>
    <row r="274" spans="1:6">
      <c r="A274" t="s">
        <v>1138</v>
      </c>
      <c r="D274" t="s">
        <v>1171</v>
      </c>
      <c r="F274">
        <v>4166</v>
      </c>
    </row>
    <row r="275" spans="1:6">
      <c r="A275" t="s">
        <v>291</v>
      </c>
      <c r="D275" t="s">
        <v>1171</v>
      </c>
      <c r="F275">
        <v>2056</v>
      </c>
    </row>
    <row r="276" spans="1:6">
      <c r="A276" t="s">
        <v>292</v>
      </c>
      <c r="B276" t="s">
        <v>1171</v>
      </c>
      <c r="F276">
        <v>0</v>
      </c>
    </row>
    <row r="277" spans="1:6">
      <c r="A277" t="s">
        <v>1139</v>
      </c>
      <c r="D277" t="s">
        <v>1171</v>
      </c>
      <c r="F277">
        <v>2056</v>
      </c>
    </row>
    <row r="278" spans="1:6">
      <c r="A278" t="s">
        <v>907</v>
      </c>
      <c r="D278" t="s">
        <v>1171</v>
      </c>
      <c r="E278" t="s">
        <v>1171</v>
      </c>
      <c r="F278">
        <v>5268</v>
      </c>
    </row>
    <row r="279" spans="1:6">
      <c r="A279" t="s">
        <v>1140</v>
      </c>
      <c r="B279" t="s">
        <v>1171</v>
      </c>
      <c r="F279">
        <v>0</v>
      </c>
    </row>
    <row r="280" spans="1:6">
      <c r="A280" t="s">
        <v>1141</v>
      </c>
      <c r="C280" t="s">
        <v>1171</v>
      </c>
      <c r="F280">
        <v>0</v>
      </c>
    </row>
    <row r="281" spans="1:6">
      <c r="A281" t="s">
        <v>915</v>
      </c>
      <c r="B281" t="s">
        <v>1171</v>
      </c>
      <c r="F281">
        <v>0</v>
      </c>
    </row>
    <row r="282" spans="1:6">
      <c r="A282" t="s">
        <v>1142</v>
      </c>
      <c r="D282" t="s">
        <v>1171</v>
      </c>
      <c r="F282">
        <v>2056</v>
      </c>
    </row>
    <row r="283" spans="1:6">
      <c r="A283" t="s">
        <v>1143</v>
      </c>
      <c r="C283" t="s">
        <v>1171</v>
      </c>
      <c r="F283">
        <v>0</v>
      </c>
    </row>
    <row r="284" spans="1:6">
      <c r="A284" t="s">
        <v>1144</v>
      </c>
      <c r="C284" t="s">
        <v>1171</v>
      </c>
      <c r="F284">
        <v>0</v>
      </c>
    </row>
    <row r="285" spans="1:6">
      <c r="A285" t="s">
        <v>1145</v>
      </c>
      <c r="B285" t="s">
        <v>1171</v>
      </c>
      <c r="F285">
        <v>0</v>
      </c>
    </row>
    <row r="286" spans="1:6">
      <c r="A286" t="s">
        <v>877</v>
      </c>
      <c r="C286" t="s">
        <v>1171</v>
      </c>
      <c r="F286">
        <v>0</v>
      </c>
    </row>
    <row r="287" spans="1:6">
      <c r="A287" t="s">
        <v>1146</v>
      </c>
      <c r="C287" t="s">
        <v>1171</v>
      </c>
      <c r="F287">
        <v>0</v>
      </c>
    </row>
    <row r="288" spans="1:6">
      <c r="A288" t="s">
        <v>1147</v>
      </c>
      <c r="D288" t="s">
        <v>1171</v>
      </c>
      <c r="F288">
        <v>4112</v>
      </c>
    </row>
    <row r="289" spans="1:6">
      <c r="A289" t="s">
        <v>305</v>
      </c>
      <c r="D289" t="s">
        <v>1171</v>
      </c>
      <c r="E289" t="s">
        <v>1171</v>
      </c>
      <c r="F289">
        <v>2185</v>
      </c>
    </row>
    <row r="290" spans="1:6">
      <c r="A290" t="s">
        <v>306</v>
      </c>
      <c r="D290" t="s">
        <v>1171</v>
      </c>
      <c r="F290">
        <v>2185</v>
      </c>
    </row>
    <row r="291" spans="1:6">
      <c r="A291" t="s">
        <v>1148</v>
      </c>
      <c r="D291" t="s">
        <v>1171</v>
      </c>
      <c r="F291">
        <v>1885</v>
      </c>
    </row>
    <row r="292" spans="1:6">
      <c r="A292" t="s">
        <v>1149</v>
      </c>
      <c r="D292" t="s">
        <v>1171</v>
      </c>
      <c r="F292">
        <v>2185</v>
      </c>
    </row>
    <row r="293" spans="1:6">
      <c r="A293" t="s">
        <v>1150</v>
      </c>
      <c r="B293" t="s">
        <v>1171</v>
      </c>
      <c r="F293">
        <v>0</v>
      </c>
    </row>
    <row r="294" spans="1:6">
      <c r="A294" t="s">
        <v>1151</v>
      </c>
      <c r="C294" t="s">
        <v>1171</v>
      </c>
      <c r="F294">
        <v>0</v>
      </c>
    </row>
    <row r="295" spans="1:6">
      <c r="A295" t="s">
        <v>1152</v>
      </c>
      <c r="D295" t="s">
        <v>1171</v>
      </c>
      <c r="F295">
        <v>2185</v>
      </c>
    </row>
    <row r="296" spans="1:6">
      <c r="A296" t="s">
        <v>1153</v>
      </c>
      <c r="B296" t="s">
        <v>1171</v>
      </c>
      <c r="F296">
        <v>0</v>
      </c>
    </row>
    <row r="297" spans="1:6">
      <c r="A297" t="s">
        <v>1154</v>
      </c>
      <c r="D297" t="s">
        <v>1171</v>
      </c>
      <c r="F297">
        <v>2185</v>
      </c>
    </row>
    <row r="298" spans="1:6">
      <c r="A298" t="s">
        <v>1155</v>
      </c>
      <c r="C298" t="s">
        <v>1171</v>
      </c>
      <c r="F298">
        <v>0</v>
      </c>
    </row>
    <row r="299" spans="1:6">
      <c r="A299" t="s">
        <v>1156</v>
      </c>
      <c r="D299" t="s">
        <v>1171</v>
      </c>
      <c r="E299" t="s">
        <v>1171</v>
      </c>
      <c r="F299">
        <v>1885</v>
      </c>
    </row>
    <row r="300" spans="1:6">
      <c r="A300" t="s">
        <v>905</v>
      </c>
      <c r="D300" t="s">
        <v>1171</v>
      </c>
      <c r="F300">
        <v>4370</v>
      </c>
    </row>
    <row r="301" spans="1:6">
      <c r="A301" t="s">
        <v>1157</v>
      </c>
      <c r="D301" t="s">
        <v>1171</v>
      </c>
      <c r="F301">
        <v>2185</v>
      </c>
    </row>
    <row r="302" spans="1:6">
      <c r="A302" t="s">
        <v>1158</v>
      </c>
      <c r="C302" t="s">
        <v>1171</v>
      </c>
      <c r="F302">
        <v>0</v>
      </c>
    </row>
    <row r="303" spans="1:6">
      <c r="A303" t="s">
        <v>319</v>
      </c>
      <c r="D303" t="s">
        <v>1171</v>
      </c>
      <c r="F303">
        <v>2203</v>
      </c>
    </row>
    <row r="304" spans="1:6">
      <c r="A304" t="s">
        <v>320</v>
      </c>
      <c r="D304" t="s">
        <v>1171</v>
      </c>
      <c r="F304">
        <v>4406</v>
      </c>
    </row>
    <row r="305" spans="1:6">
      <c r="A305" t="s">
        <v>1159</v>
      </c>
      <c r="C305" t="s">
        <v>1171</v>
      </c>
      <c r="F305">
        <v>0</v>
      </c>
    </row>
    <row r="306" spans="1:6">
      <c r="A306" t="s">
        <v>1160</v>
      </c>
      <c r="D306" t="s">
        <v>1171</v>
      </c>
      <c r="F306">
        <v>2203</v>
      </c>
    </row>
    <row r="307" spans="1:6">
      <c r="A307" t="s">
        <v>1161</v>
      </c>
      <c r="D307" t="s">
        <v>1171</v>
      </c>
      <c r="F307">
        <v>4406</v>
      </c>
    </row>
    <row r="308" spans="1:6">
      <c r="A308" t="s">
        <v>1162</v>
      </c>
      <c r="D308" t="s">
        <v>1171</v>
      </c>
      <c r="F308">
        <v>2203</v>
      </c>
    </row>
    <row r="309" spans="1:6">
      <c r="A309" t="s">
        <v>1163</v>
      </c>
      <c r="B309" t="s">
        <v>1171</v>
      </c>
      <c r="E309" t="s">
        <v>1171</v>
      </c>
      <c r="F309">
        <v>0</v>
      </c>
    </row>
    <row r="310" spans="1:6">
      <c r="A310" t="s">
        <v>1164</v>
      </c>
      <c r="C310" t="s">
        <v>1171</v>
      </c>
      <c r="F310">
        <v>0</v>
      </c>
    </row>
    <row r="311" spans="1:6">
      <c r="A311" t="s">
        <v>1165</v>
      </c>
      <c r="B311" t="s">
        <v>1171</v>
      </c>
      <c r="F311">
        <v>0</v>
      </c>
    </row>
    <row r="312" spans="1:6">
      <c r="A312" t="s">
        <v>1166</v>
      </c>
      <c r="C312" t="s">
        <v>1171</v>
      </c>
      <c r="F312">
        <v>0</v>
      </c>
    </row>
    <row r="313" spans="1:6">
      <c r="A313" t="s">
        <v>1167</v>
      </c>
      <c r="D313" t="s">
        <v>1171</v>
      </c>
      <c r="F313">
        <v>2203</v>
      </c>
    </row>
    <row r="314" spans="1:6">
      <c r="A314" t="s">
        <v>1168</v>
      </c>
      <c r="C314" t="s">
        <v>1171</v>
      </c>
      <c r="F314">
        <v>0</v>
      </c>
    </row>
    <row r="315" spans="1:6">
      <c r="A315" t="s">
        <v>1169</v>
      </c>
      <c r="C315" t="s">
        <v>1171</v>
      </c>
      <c r="E315" t="s">
        <v>1171</v>
      </c>
      <c r="F315">
        <v>0</v>
      </c>
    </row>
    <row r="316" spans="1:6">
      <c r="A316" t="s">
        <v>1170</v>
      </c>
      <c r="D316" t="s">
        <v>1171</v>
      </c>
      <c r="F316">
        <v>2203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15EB1-CA87-47B9-B13E-A35C70AB023D}">
  <sheetPr codeName="工作表15"/>
  <dimension ref="A1:B12"/>
  <sheetViews>
    <sheetView workbookViewId="0">
      <selection activeCell="B10" sqref="B10"/>
    </sheetView>
  </sheetViews>
  <sheetFormatPr defaultRowHeight="16.5"/>
  <cols>
    <col min="1" max="1" width="21.875" customWidth="1"/>
  </cols>
  <sheetData>
    <row r="1" spans="1:2" ht="18.75">
      <c r="A1" s="21" t="s">
        <v>776</v>
      </c>
    </row>
    <row r="3" spans="1:2">
      <c r="A3" t="s">
        <v>777</v>
      </c>
      <c r="B3">
        <f>SUM(公告未繳!B:B)</f>
        <v>0</v>
      </c>
    </row>
    <row r="4" spans="1:2">
      <c r="A4" t="s">
        <v>778</v>
      </c>
      <c r="B4">
        <f>LOOKUP(2,1/(未銷帳!A:A&lt;&gt;""),ROW(A:A))-1</f>
        <v>0</v>
      </c>
    </row>
    <row r="5" spans="1:2">
      <c r="A5" t="s">
        <v>779</v>
      </c>
      <c r="B5">
        <f>SUM(未銷帳!E:E)</f>
        <v>0</v>
      </c>
    </row>
    <row r="6" spans="1:2">
      <c r="A6" t="s">
        <v>340</v>
      </c>
      <c r="B6">
        <f>COUNTA(年繳戶別[年繳戶])</f>
        <v>94</v>
      </c>
    </row>
    <row r="7" spans="1:2">
      <c r="A7" t="s">
        <v>338</v>
      </c>
      <c r="B7">
        <f>COUNTA(季繳戶別[季繳戶])</f>
        <v>90</v>
      </c>
    </row>
    <row r="8" spans="1:2">
      <c r="A8" t="s">
        <v>780</v>
      </c>
      <c r="B8">
        <f>LOOKUP(2,1/(上傳資料!A:A&lt;&gt;""),ROW(A:A))-7 + LOOKUP(2,1/(拆單上傳!A:A&lt;&gt;""),ROW(A:A))-7</f>
        <v>0</v>
      </c>
    </row>
    <row r="9" spans="1:2">
      <c r="A9" t="s">
        <v>782</v>
      </c>
      <c r="B9">
        <f>SUM(上傳資料!D:D)</f>
        <v>0</v>
      </c>
    </row>
    <row r="10" spans="1:2">
      <c r="A10" t="s">
        <v>781</v>
      </c>
      <c r="B10">
        <f>COUNT(自動扣繳!E:E)-1-COUNTIF(自動扣繳!E:E, "=0")</f>
        <v>21</v>
      </c>
    </row>
    <row r="11" spans="1:2">
      <c r="A11" t="s">
        <v>783</v>
      </c>
      <c r="B11">
        <f>LOOKUP("合計金額",自動扣繳!D:D,自動扣繳!E:E)</f>
        <v>60763</v>
      </c>
    </row>
    <row r="12" spans="1:2">
      <c r="A12" t="s">
        <v>1172</v>
      </c>
      <c r="B12">
        <f>B6+B7+B8+B10</f>
        <v>205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8C15-5995-48B9-BC37-A3460A826973}">
  <sheetPr codeName="工作表13"/>
  <dimension ref="A1:B11"/>
  <sheetViews>
    <sheetView workbookViewId="0">
      <selection activeCell="B7" sqref="B7"/>
    </sheetView>
  </sheetViews>
  <sheetFormatPr defaultRowHeight="16.5"/>
  <cols>
    <col min="1" max="1" width="35.75" customWidth="1"/>
    <col min="2" max="2" width="36" customWidth="1"/>
  </cols>
  <sheetData>
    <row r="1" spans="1:2">
      <c r="A1" s="2" t="s">
        <v>763</v>
      </c>
      <c r="B1" s="2" t="s">
        <v>764</v>
      </c>
    </row>
    <row r="2" spans="1:2">
      <c r="A2" s="27" t="s">
        <v>743</v>
      </c>
      <c r="B2" s="28" t="s">
        <v>765</v>
      </c>
    </row>
    <row r="3" spans="1:2">
      <c r="A3" s="28" t="s">
        <v>744</v>
      </c>
      <c r="B3" t="s">
        <v>766</v>
      </c>
    </row>
    <row r="4" spans="1:2">
      <c r="A4" s="28" t="s">
        <v>745</v>
      </c>
      <c r="B4" t="s">
        <v>767</v>
      </c>
    </row>
    <row r="5" spans="1:2">
      <c r="A5" s="28" t="s">
        <v>746</v>
      </c>
      <c r="B5" t="s">
        <v>768</v>
      </c>
    </row>
    <row r="6" spans="1:2">
      <c r="A6" s="28" t="s">
        <v>747</v>
      </c>
      <c r="B6" t="s">
        <v>775</v>
      </c>
    </row>
    <row r="7" spans="1:2">
      <c r="A7" s="28" t="s">
        <v>748</v>
      </c>
    </row>
    <row r="8" spans="1:2">
      <c r="A8" s="28" t="s">
        <v>749</v>
      </c>
    </row>
    <row r="9" spans="1:2">
      <c r="A9" s="28" t="s">
        <v>750</v>
      </c>
    </row>
    <row r="10" spans="1:2">
      <c r="A10" s="28" t="s">
        <v>761</v>
      </c>
    </row>
    <row r="11" spans="1:2">
      <c r="A11" s="28" t="s">
        <v>762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起始表</vt:lpstr>
      <vt:lpstr>基本資料</vt:lpstr>
      <vt:lpstr>季繳名單</vt:lpstr>
      <vt:lpstr>年繳名單</vt:lpstr>
      <vt:lpstr>坪數</vt:lpstr>
      <vt:lpstr>區權人</vt:lpstr>
      <vt:lpstr>拆單作業</vt:lpstr>
      <vt:lpstr>當月帳款</vt:lpstr>
      <vt:lpstr>未銷帳</vt:lpstr>
      <vt:lpstr>行政規費</vt:lpstr>
      <vt:lpstr>其他費用</vt:lpstr>
      <vt:lpstr>上傳資料</vt:lpstr>
      <vt:lpstr>拆單上傳</vt:lpstr>
      <vt:lpstr>自動扣繳</vt:lpstr>
      <vt:lpstr>公告未繳</vt:lpstr>
      <vt:lpstr>代扣通知</vt:lpstr>
      <vt:lpstr>Email</vt:lpstr>
      <vt:lpstr>Email範本</vt:lpstr>
      <vt:lpstr>繳費財報</vt:lpstr>
      <vt:lpstr>總覽</vt:lpstr>
      <vt:lpstr>Q&amp;A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Liu</dc:creator>
  <cp:lastModifiedBy>Vincent Liu</cp:lastModifiedBy>
  <dcterms:created xsi:type="dcterms:W3CDTF">2026-02-05T07:12:06Z</dcterms:created>
  <dcterms:modified xsi:type="dcterms:W3CDTF">2026-05-02T06:01:36Z</dcterms:modified>
</cp:coreProperties>
</file>